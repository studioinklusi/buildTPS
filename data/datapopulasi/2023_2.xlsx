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G:\My Drive\PIAK\DKB\2023\2023_02\2023_02_Data Kependudukan\"/>
    </mc:Choice>
  </mc:AlternateContent>
  <xr:revisionPtr revIDLastSave="0" documentId="13_ncr:1_{6FA4CA20-E271-4247-9A48-4E8CC0606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_JK_3304_KAB. BANJARNEGARA" sheetId="7" r:id="rId1"/>
    <sheet name="Kab" sheetId="4" r:id="rId2"/>
    <sheet name="Kec" sheetId="8" r:id="rId3"/>
    <sheet name="Des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0" i="9" l="1"/>
  <c r="G360" i="9"/>
  <c r="E360" i="9"/>
  <c r="I351" i="9" a="1"/>
  <c r="I351" i="9" s="1"/>
  <c r="G351" i="9" a="1"/>
  <c r="G351" i="9" s="1"/>
  <c r="E351" i="9" a="1"/>
  <c r="E351" i="9" s="1"/>
  <c r="I347" i="9"/>
  <c r="G347" i="9"/>
  <c r="E347" i="9"/>
  <c r="I339" i="9" a="1"/>
  <c r="I339" i="9" s="1"/>
  <c r="G339" i="9" a="1"/>
  <c r="G339" i="9" s="1"/>
  <c r="E339" i="9" a="1"/>
  <c r="E339" i="9" s="1"/>
  <c r="I335" i="9"/>
  <c r="G335" i="9"/>
  <c r="E335" i="9"/>
  <c r="I319" i="9" a="1"/>
  <c r="I319" i="9" s="1"/>
  <c r="G319" i="9" a="1"/>
  <c r="G319" i="9" s="1"/>
  <c r="E319" i="9" a="1"/>
  <c r="E319" i="9" s="1"/>
  <c r="I315" i="9"/>
  <c r="G315" i="9"/>
  <c r="E315" i="9"/>
  <c r="I298" i="9" a="1"/>
  <c r="I298" i="9" s="1"/>
  <c r="G298" i="9" a="1"/>
  <c r="G298" i="9" s="1"/>
  <c r="E298" i="9" a="1"/>
  <c r="E298" i="9" s="1"/>
  <c r="I294" i="9"/>
  <c r="E294" i="9"/>
  <c r="I282" i="9"/>
  <c r="G282" i="9"/>
  <c r="E282" i="9"/>
  <c r="I261" i="9"/>
  <c r="G261" i="9"/>
  <c r="E261" i="9"/>
  <c r="I241" i="9"/>
  <c r="G241" i="9"/>
  <c r="E241" i="9"/>
  <c r="I224" i="9"/>
  <c r="G224" i="9"/>
  <c r="E224" i="9"/>
  <c r="I203" i="9"/>
  <c r="G203" i="9"/>
  <c r="E203" i="9"/>
  <c r="I188" i="9"/>
  <c r="G188" i="9"/>
  <c r="E188" i="9"/>
  <c r="I173" i="9"/>
  <c r="G173" i="9"/>
  <c r="E173" i="9"/>
  <c r="I152" i="9"/>
  <c r="G152" i="9"/>
  <c r="E152" i="9"/>
  <c r="I128" i="9"/>
  <c r="G128" i="9"/>
  <c r="E128" i="9"/>
  <c r="I109" i="9"/>
  <c r="G109" i="9"/>
  <c r="E109" i="9"/>
  <c r="I92" i="9"/>
  <c r="G92" i="9"/>
  <c r="E92" i="9"/>
  <c r="I70" i="9"/>
  <c r="G70" i="9"/>
  <c r="E70" i="9"/>
  <c r="I53" i="9"/>
  <c r="G53" i="9"/>
  <c r="E53" i="9"/>
  <c r="I33" i="9"/>
  <c r="G33" i="9"/>
  <c r="E33" i="9"/>
  <c r="I21" i="9"/>
  <c r="G21" i="9"/>
  <c r="E21" i="9"/>
  <c r="I286" i="9" a="1"/>
  <c r="I286" i="9" s="1"/>
  <c r="G286" i="9" a="1"/>
  <c r="G286" i="9" s="1"/>
  <c r="E286" i="9" a="1"/>
  <c r="E286" i="9" s="1"/>
  <c r="I265" i="9" a="1"/>
  <c r="I265" i="9" s="1"/>
  <c r="G265" i="9" a="1"/>
  <c r="G265" i="9" s="1"/>
  <c r="E265" i="9" a="1"/>
  <c r="E265" i="9" s="1"/>
  <c r="I245" i="9" a="1"/>
  <c r="I245" i="9" s="1"/>
  <c r="G245" i="9" a="1"/>
  <c r="G245" i="9" s="1"/>
  <c r="E245" i="9" a="1"/>
  <c r="E245" i="9" s="1"/>
  <c r="I228" i="9" a="1"/>
  <c r="I228" i="9" s="1"/>
  <c r="G228" i="9" a="1"/>
  <c r="G228" i="9" s="1"/>
  <c r="E228" i="9" a="1"/>
  <c r="E228" i="9" s="1"/>
  <c r="I207" i="9" a="1"/>
  <c r="I207" i="9" s="1"/>
  <c r="G207" i="9" a="1"/>
  <c r="G207" i="9" s="1"/>
  <c r="E207" i="9" a="1"/>
  <c r="E207" i="9" s="1"/>
  <c r="I192" i="9" a="1"/>
  <c r="I192" i="9" s="1"/>
  <c r="G192" i="9" a="1"/>
  <c r="G192" i="9" s="1"/>
  <c r="E192" i="9" a="1"/>
  <c r="E192" i="9" s="1"/>
  <c r="I177" i="9" a="1"/>
  <c r="I177" i="9" s="1"/>
  <c r="G177" i="9" a="1"/>
  <c r="G177" i="9" s="1"/>
  <c r="E177" i="9" a="1"/>
  <c r="E177" i="9" s="1"/>
  <c r="I156" i="9" a="1"/>
  <c r="I156" i="9" s="1"/>
  <c r="G156" i="9" a="1"/>
  <c r="G156" i="9" s="1"/>
  <c r="E156" i="9" a="1"/>
  <c r="E156" i="9" s="1"/>
  <c r="I132" i="9" a="1"/>
  <c r="I132" i="9" s="1"/>
  <c r="G132" i="9" a="1"/>
  <c r="G132" i="9" s="1"/>
  <c r="E132" i="9" a="1"/>
  <c r="E132" i="9" s="1"/>
  <c r="I113" i="9" a="1"/>
  <c r="I113" i="9" s="1"/>
  <c r="G113" i="9" a="1"/>
  <c r="G113" i="9" s="1"/>
  <c r="E113" i="9" a="1"/>
  <c r="E113" i="9" s="1"/>
  <c r="I96" i="9" a="1"/>
  <c r="I96" i="9" s="1"/>
  <c r="G96" i="9" a="1"/>
  <c r="G96" i="9" s="1"/>
  <c r="E96" i="9" a="1"/>
  <c r="E96" i="9" s="1"/>
  <c r="I74" i="9" a="1"/>
  <c r="I74" i="9" s="1"/>
  <c r="G74" i="9" a="1"/>
  <c r="G74" i="9" s="1"/>
  <c r="E74" i="9" a="1"/>
  <c r="E74" i="9" s="1"/>
  <c r="I57" i="9" a="1"/>
  <c r="I57" i="9" s="1"/>
  <c r="G57" i="9" a="1"/>
  <c r="G57" i="9" s="1"/>
  <c r="E57" i="9" a="1"/>
  <c r="E57" i="9" s="1"/>
  <c r="I37" i="9" a="1"/>
  <c r="I37" i="9" s="1"/>
  <c r="G37" i="9" a="1"/>
  <c r="G37" i="9" s="1"/>
  <c r="E37" i="9" a="1"/>
  <c r="E37" i="9" s="1"/>
  <c r="I25" i="9" a="1"/>
  <c r="I25" i="9" s="1"/>
  <c r="G25" i="9" a="1"/>
  <c r="G25" i="9" s="1"/>
  <c r="E25" i="9" a="1"/>
  <c r="E25" i="9" s="1"/>
  <c r="I6" i="9" a="1"/>
  <c r="I6" i="9" s="1"/>
  <c r="G6" i="9" a="1"/>
  <c r="G6" i="9" s="1"/>
  <c r="E6" i="9" a="1"/>
  <c r="E6" i="9" s="1"/>
  <c r="H351" i="9" l="1" a="1"/>
  <c r="H351" i="9" s="1"/>
  <c r="F351" i="9" a="1"/>
  <c r="F351" i="9" s="1"/>
  <c r="C351" i="9" a="1"/>
  <c r="D360" i="9" s="1"/>
  <c r="B351" i="9" a="1"/>
  <c r="B351" i="9" s="1"/>
  <c r="H339" i="9" a="1"/>
  <c r="H339" i="9" s="1"/>
  <c r="H347" i="9" s="1"/>
  <c r="F339" i="9" a="1"/>
  <c r="F339" i="9" s="1"/>
  <c r="C339" i="9" a="1"/>
  <c r="C339" i="9" s="1"/>
  <c r="B339" i="9" a="1"/>
  <c r="B339" i="9" s="1"/>
  <c r="H319" i="9" a="1"/>
  <c r="H319" i="9" s="1"/>
  <c r="F319" i="9" a="1"/>
  <c r="F319" i="9" s="1"/>
  <c r="C319" i="9" a="1"/>
  <c r="B319" i="9" a="1"/>
  <c r="B319" i="9" s="1"/>
  <c r="H315" i="9"/>
  <c r="F315" i="9"/>
  <c r="D315" i="9"/>
  <c r="H298" i="9" a="1"/>
  <c r="H298" i="9" s="1"/>
  <c r="F298" i="9" a="1"/>
  <c r="F298" i="9" s="1"/>
  <c r="C298" i="9" a="1"/>
  <c r="C298" i="9" s="1"/>
  <c r="B298" i="9" a="1"/>
  <c r="B298" i="9" s="1"/>
  <c r="H286" i="9" a="1"/>
  <c r="H286" i="9" s="1"/>
  <c r="F286" i="9" a="1"/>
  <c r="F286" i="9" s="1"/>
  <c r="F294" i="9" s="1"/>
  <c r="C286" i="9" a="1"/>
  <c r="C286" i="9" s="1"/>
  <c r="B286" i="9" a="1"/>
  <c r="B286" i="9" s="1"/>
  <c r="H282" i="9"/>
  <c r="F282" i="9"/>
  <c r="D282" i="9"/>
  <c r="H265" i="9" a="1"/>
  <c r="H265" i="9" s="1"/>
  <c r="F265" i="9" a="1"/>
  <c r="F265" i="9" s="1"/>
  <c r="C265" i="9" a="1"/>
  <c r="B265" i="9" a="1"/>
  <c r="B265" i="9" s="1"/>
  <c r="H245" i="9" a="1"/>
  <c r="H245" i="9" s="1"/>
  <c r="F245" i="9" a="1"/>
  <c r="F245" i="9" s="1"/>
  <c r="C245" i="9" a="1"/>
  <c r="B245" i="9" a="1"/>
  <c r="B245" i="9" s="1"/>
  <c r="H228" i="9" a="1"/>
  <c r="H228" i="9" s="1"/>
  <c r="H241" i="9" s="1"/>
  <c r="F228" i="9" a="1"/>
  <c r="F228" i="9" s="1"/>
  <c r="F241" i="9" s="1"/>
  <c r="C228" i="9" a="1"/>
  <c r="C228" i="9" s="1"/>
  <c r="B228" i="9" a="1"/>
  <c r="B228" i="9" s="1"/>
  <c r="H207" i="9" a="1"/>
  <c r="H207" i="9" s="1"/>
  <c r="F207" i="9" a="1"/>
  <c r="F207" i="9" s="1"/>
  <c r="C207" i="9" a="1"/>
  <c r="D224" i="9" s="1"/>
  <c r="B207" i="9" a="1"/>
  <c r="B207" i="9" s="1"/>
  <c r="H203" i="9"/>
  <c r="F203" i="9"/>
  <c r="D203" i="9"/>
  <c r="H192" i="9" a="1"/>
  <c r="H192" i="9" s="1"/>
  <c r="F192" i="9" a="1"/>
  <c r="F192" i="9" s="1"/>
  <c r="C192" i="9" a="1"/>
  <c r="B192" i="9" a="1"/>
  <c r="B192" i="9" s="1"/>
  <c r="H177" i="9" a="1"/>
  <c r="H177" i="9" s="1"/>
  <c r="F177" i="9" a="1"/>
  <c r="F177" i="9" s="1"/>
  <c r="F188" i="9" s="1"/>
  <c r="C177" i="9" a="1"/>
  <c r="D188" i="9" s="1"/>
  <c r="B177" i="9" a="1"/>
  <c r="B177" i="9" s="1"/>
  <c r="H156" i="9" a="1"/>
  <c r="H156" i="9" s="1"/>
  <c r="H173" i="9" s="1"/>
  <c r="F156" i="9" a="1"/>
  <c r="F156" i="9" s="1"/>
  <c r="C156" i="9" a="1"/>
  <c r="D173" i="9" s="1"/>
  <c r="B156" i="9" a="1"/>
  <c r="B156" i="9" s="1"/>
  <c r="H132" i="9" a="1"/>
  <c r="H132" i="9" s="1"/>
  <c r="F132" i="9" a="1"/>
  <c r="F132" i="9" s="1"/>
  <c r="C132" i="9" a="1"/>
  <c r="B132" i="9" a="1"/>
  <c r="B132" i="9" s="1"/>
  <c r="H113" i="9" a="1"/>
  <c r="H113" i="9" s="1"/>
  <c r="H128" i="9" s="1"/>
  <c r="F113" i="9" a="1"/>
  <c r="F113" i="9" s="1"/>
  <c r="F128" i="9" s="1"/>
  <c r="C113" i="9" a="1"/>
  <c r="C113" i="9" s="1"/>
  <c r="B113" i="9" a="1"/>
  <c r="B113" i="9" s="1"/>
  <c r="H96" i="9" a="1"/>
  <c r="H96" i="9" s="1"/>
  <c r="H109" i="9" s="1"/>
  <c r="F96" i="9" a="1"/>
  <c r="F96" i="9" s="1"/>
  <c r="F109" i="9" s="1"/>
  <c r="F74" i="9" a="1"/>
  <c r="F74" i="9" s="1"/>
  <c r="H74" i="9" a="1"/>
  <c r="H74" i="9" s="1"/>
  <c r="H57" i="9" a="1"/>
  <c r="H57" i="9" s="1"/>
  <c r="H70" i="9" s="1"/>
  <c r="H37" i="9" a="1"/>
  <c r="H37" i="9" s="1"/>
  <c r="H25" i="9" a="1"/>
  <c r="H25" i="9" s="1"/>
  <c r="H33" i="9" s="1"/>
  <c r="H6" i="9" a="1"/>
  <c r="H6" i="9" s="1"/>
  <c r="F57" i="9" a="1"/>
  <c r="F57" i="9" s="1"/>
  <c r="F70" i="9" s="1"/>
  <c r="F37" i="9" a="1"/>
  <c r="F37" i="9" s="1"/>
  <c r="F25" i="9" a="1"/>
  <c r="F25" i="9" s="1"/>
  <c r="F33" i="9" s="1"/>
  <c r="F6" i="9" a="1"/>
  <c r="F6" i="9" s="1"/>
  <c r="C96" i="9" a="1"/>
  <c r="C96" i="9" s="1"/>
  <c r="C74" i="9" a="1"/>
  <c r="C74" i="9" s="1"/>
  <c r="C57" i="9" a="1"/>
  <c r="C57" i="9" s="1"/>
  <c r="C37" i="9" a="1"/>
  <c r="C37" i="9" s="1"/>
  <c r="C25" i="9" a="1"/>
  <c r="C25" i="9" s="1"/>
  <c r="C6" i="9" a="1"/>
  <c r="C6" i="9" s="1"/>
  <c r="B96" i="9" a="1"/>
  <c r="B96" i="9" s="1"/>
  <c r="B74" i="9" a="1"/>
  <c r="B74" i="9" s="1"/>
  <c r="B57" i="9" a="1"/>
  <c r="B57" i="9" s="1"/>
  <c r="B37" i="9" a="1"/>
  <c r="B37" i="9" s="1"/>
  <c r="B25" i="9" a="1"/>
  <c r="B25" i="9" s="1"/>
  <c r="B6" i="9" a="1"/>
  <c r="B6" i="9" s="1"/>
  <c r="I5" i="4"/>
  <c r="G5" i="4"/>
  <c r="E5" i="4"/>
  <c r="F5" i="4"/>
  <c r="D5" i="4"/>
  <c r="D347" i="9"/>
  <c r="D70" i="9"/>
  <c r="D33" i="9"/>
  <c r="F26" i="8"/>
  <c r="G26" i="8" s="1"/>
  <c r="H6" i="8" a="1"/>
  <c r="H6" i="8" s="1"/>
  <c r="H26" i="8" s="1"/>
  <c r="F6" i="8" a="1"/>
  <c r="F6" i="8" s="1"/>
  <c r="G6" i="8" s="1" a="1"/>
  <c r="G6" i="8" s="1"/>
  <c r="B6" i="8" a="1"/>
  <c r="B6" i="8" s="1"/>
  <c r="C351" i="9" l="1"/>
  <c r="H335" i="9"/>
  <c r="D335" i="9"/>
  <c r="C319" i="9"/>
  <c r="C265" i="9"/>
  <c r="F261" i="9"/>
  <c r="H261" i="9"/>
  <c r="D261" i="9"/>
  <c r="C245" i="9"/>
  <c r="F224" i="9"/>
  <c r="C207" i="9"/>
  <c r="C192" i="9"/>
  <c r="C177" i="9"/>
  <c r="C156" i="9"/>
  <c r="H152" i="9"/>
  <c r="C132" i="9"/>
  <c r="F347" i="9"/>
  <c r="H294" i="9"/>
  <c r="D241" i="9"/>
  <c r="H21" i="9"/>
  <c r="H53" i="9"/>
  <c r="D21" i="9"/>
  <c r="F53" i="9"/>
  <c r="D53" i="9"/>
  <c r="D109" i="9"/>
  <c r="F152" i="9"/>
  <c r="H188" i="9"/>
  <c r="F335" i="9"/>
  <c r="F21" i="9"/>
  <c r="D92" i="9"/>
  <c r="D152" i="9"/>
  <c r="H224" i="9"/>
  <c r="F92" i="9"/>
  <c r="F173" i="9"/>
  <c r="F360" i="9"/>
  <c r="I6" i="8" a="1"/>
  <c r="I6" i="8" s="1"/>
  <c r="E6" i="8" a="1"/>
  <c r="E6" i="8" s="1"/>
  <c r="D26" i="8"/>
  <c r="H92" i="9"/>
  <c r="D128" i="9"/>
  <c r="D294" i="9"/>
  <c r="H360" i="9"/>
  <c r="F361" i="9" l="1" a="1"/>
  <c r="F361" i="9" s="1"/>
  <c r="I26" i="8"/>
  <c r="E26" i="8"/>
  <c r="D361" i="9" a="1"/>
  <c r="D361" i="9" s="1"/>
  <c r="H361" i="9" a="1"/>
  <c r="H361" i="9" s="1"/>
  <c r="G294" i="9" l="1"/>
  <c r="G361" i="9"/>
  <c r="I361" i="9"/>
  <c r="E361" i="9"/>
  <c r="F6" i="4" l="1"/>
  <c r="D6" i="4"/>
  <c r="H5" i="4"/>
  <c r="I6" i="4" s="1"/>
  <c r="E6" i="4" l="1"/>
  <c r="G6" i="4"/>
  <c r="H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<sst xmlns="http://schemas.openxmlformats.org/spreadsheetml/2006/main" count="941" uniqueCount="611">
  <si>
    <t>KODE</t>
  </si>
  <si>
    <t>WILAYAH</t>
  </si>
  <si>
    <t>JML</t>
  </si>
  <si>
    <t>33.04</t>
  </si>
  <si>
    <t>33.04.01</t>
  </si>
  <si>
    <t>33.04.01.2001</t>
  </si>
  <si>
    <t>33.04.01.2002</t>
  </si>
  <si>
    <t>33.04.01.2003</t>
  </si>
  <si>
    <t>33.04.01.2004</t>
  </si>
  <si>
    <t>33.04.01.2005</t>
  </si>
  <si>
    <t>33.04.01.2006</t>
  </si>
  <si>
    <t>33.04.01.2007</t>
  </si>
  <si>
    <t>33.04.01.2008</t>
  </si>
  <si>
    <t>33.04.01.2009</t>
  </si>
  <si>
    <t>33.04.01.2010</t>
  </si>
  <si>
    <t>33.04.01.2011</t>
  </si>
  <si>
    <t>33.04.01.2012</t>
  </si>
  <si>
    <t>33.04.01.2013</t>
  </si>
  <si>
    <t>33.04.01.2014</t>
  </si>
  <si>
    <t>33.04.01.2015</t>
  </si>
  <si>
    <t>33.04.02</t>
  </si>
  <si>
    <t>33.04.02.2001</t>
  </si>
  <si>
    <t>33.04.02.2002</t>
  </si>
  <si>
    <t>33.04.02.2003</t>
  </si>
  <si>
    <t>33.04.02.2004</t>
  </si>
  <si>
    <t>33.04.02.2005</t>
  </si>
  <si>
    <t>33.04.02.2006</t>
  </si>
  <si>
    <t>33.04.02.2007</t>
  </si>
  <si>
    <t>33.04.02.2008</t>
  </si>
  <si>
    <t>33.04.03</t>
  </si>
  <si>
    <t>33.04.03.2001</t>
  </si>
  <si>
    <t>33.04.03.2002</t>
  </si>
  <si>
    <t>33.04.03.2003</t>
  </si>
  <si>
    <t>33.04.03.2004</t>
  </si>
  <si>
    <t>33.04.03.2005</t>
  </si>
  <si>
    <t>33.04.03.2006</t>
  </si>
  <si>
    <t>33.04.03.2007</t>
  </si>
  <si>
    <t>33.04.03.2008</t>
  </si>
  <si>
    <t>33.04.03.2009</t>
  </si>
  <si>
    <t>33.04.03.2010</t>
  </si>
  <si>
    <t>33.04.03.2011</t>
  </si>
  <si>
    <t>33.04.03.2012</t>
  </si>
  <si>
    <t>33.04.03.2013</t>
  </si>
  <si>
    <t>33.04.03.2014</t>
  </si>
  <si>
    <t>33.04.03.2015</t>
  </si>
  <si>
    <t>33.04.03.2016</t>
  </si>
  <si>
    <t>33.04.04</t>
  </si>
  <si>
    <t>33.04.04.2001</t>
  </si>
  <si>
    <t>33.04.04.2002</t>
  </si>
  <si>
    <t>33.04.04.2003</t>
  </si>
  <si>
    <t>33.04.04.2004</t>
  </si>
  <si>
    <t>33.04.04.2005</t>
  </si>
  <si>
    <t>33.04.04.2006</t>
  </si>
  <si>
    <t>33.04.04.2007</t>
  </si>
  <si>
    <t>33.04.04.2008</t>
  </si>
  <si>
    <t>33.04.04.2009</t>
  </si>
  <si>
    <t>33.04.04.2010</t>
  </si>
  <si>
    <t>33.04.04.2011</t>
  </si>
  <si>
    <t>33.04.04.2012</t>
  </si>
  <si>
    <t>33.04.04.2013</t>
  </si>
  <si>
    <t>33.04.05</t>
  </si>
  <si>
    <t>33.04.05.2001</t>
  </si>
  <si>
    <t>33.04.05.2002</t>
  </si>
  <si>
    <t>33.04.05.2003</t>
  </si>
  <si>
    <t>33.04.05.2004</t>
  </si>
  <si>
    <t>33.04.05.2005</t>
  </si>
  <si>
    <t>33.04.05.2006</t>
  </si>
  <si>
    <t>33.04.05.2007</t>
  </si>
  <si>
    <t>33.04.05.2008</t>
  </si>
  <si>
    <t>33.04.05.2009</t>
  </si>
  <si>
    <t>33.04.05.2010</t>
  </si>
  <si>
    <t>33.04.05.2011</t>
  </si>
  <si>
    <t>33.04.05.2012</t>
  </si>
  <si>
    <t>33.04.05.2013</t>
  </si>
  <si>
    <t>33.04.05.2014</t>
  </si>
  <si>
    <t>33.04.05.2015</t>
  </si>
  <si>
    <t>33.04.05.2016</t>
  </si>
  <si>
    <t>33.04.05.2017</t>
  </si>
  <si>
    <t>33.04.05.2018</t>
  </si>
  <si>
    <t>33.04.06</t>
  </si>
  <si>
    <t>33.04.06.1001</t>
  </si>
  <si>
    <t>33.04.06.1006</t>
  </si>
  <si>
    <t>33.04.06.1007</t>
  </si>
  <si>
    <t>33.04.06.1008</t>
  </si>
  <si>
    <t>33.04.06.1009</t>
  </si>
  <si>
    <t>33.04.06.1010</t>
  </si>
  <si>
    <t>33.04.06.1011</t>
  </si>
  <si>
    <t>33.04.06.1012</t>
  </si>
  <si>
    <t>33.04.06.1013</t>
  </si>
  <si>
    <t>33.04.06.2002</t>
  </si>
  <si>
    <t>33.04.06.2003</t>
  </si>
  <si>
    <t>33.04.06.2004</t>
  </si>
  <si>
    <t>33.04.06.2005</t>
  </si>
  <si>
    <t>33.04.07</t>
  </si>
  <si>
    <t>33.04.07.1015</t>
  </si>
  <si>
    <t>33.04.07.2001</t>
  </si>
  <si>
    <t>33.04.07.2002</t>
  </si>
  <si>
    <t>33.04.07.2003</t>
  </si>
  <si>
    <t>33.04.07.2004</t>
  </si>
  <si>
    <t>33.04.07.2005</t>
  </si>
  <si>
    <t>33.04.07.2006</t>
  </si>
  <si>
    <t>33.04.07.2007</t>
  </si>
  <si>
    <t>33.04.07.2008</t>
  </si>
  <si>
    <t>33.04.07.2009</t>
  </si>
  <si>
    <t>33.04.07.2010</t>
  </si>
  <si>
    <t>33.04.07.2011</t>
  </si>
  <si>
    <t>33.04.07.2012</t>
  </si>
  <si>
    <t>33.04.07.2013</t>
  </si>
  <si>
    <t>33.04.07.2014</t>
  </si>
  <si>
    <t>33.04.08</t>
  </si>
  <si>
    <t>33.04.08.1011</t>
  </si>
  <si>
    <t>33.04.08.1012</t>
  </si>
  <si>
    <t>33.04.08.2001</t>
  </si>
  <si>
    <t>33.04.08.2002</t>
  </si>
  <si>
    <t>33.04.08.2003</t>
  </si>
  <si>
    <t>33.04.08.2004</t>
  </si>
  <si>
    <t>33.04.08.2005</t>
  </si>
  <si>
    <t>33.04.08.2006</t>
  </si>
  <si>
    <t>33.04.08.2007</t>
  </si>
  <si>
    <t>33.04.08.2008</t>
  </si>
  <si>
    <t>33.04.08.2009</t>
  </si>
  <si>
    <t>33.04.08.2010</t>
  </si>
  <si>
    <t>33.04.08.2013</t>
  </si>
  <si>
    <t>33.04.08.2014</t>
  </si>
  <si>
    <t>33.04.08.2015</t>
  </si>
  <si>
    <t>33.04.08.2016</t>
  </si>
  <si>
    <t>33.04.08.2017</t>
  </si>
  <si>
    <t>33.04.08.2018</t>
  </si>
  <si>
    <t>33.04.08.2019</t>
  </si>
  <si>
    <t>33.04.08.2020</t>
  </si>
  <si>
    <t>33.04.09</t>
  </si>
  <si>
    <t>33.04.09.2001</t>
  </si>
  <si>
    <t>33.04.09.2002</t>
  </si>
  <si>
    <t>33.04.09.2003</t>
  </si>
  <si>
    <t>33.04.09.2004</t>
  </si>
  <si>
    <t>33.04.09.2005</t>
  </si>
  <si>
    <t>33.04.09.2006</t>
  </si>
  <si>
    <t>33.04.09.2007</t>
  </si>
  <si>
    <t>33.04.09.2008</t>
  </si>
  <si>
    <t>33.04.09.2009</t>
  </si>
  <si>
    <t>33.04.09.2010</t>
  </si>
  <si>
    <t>33.04.09.2011</t>
  </si>
  <si>
    <t>33.04.09.2012</t>
  </si>
  <si>
    <t>33.04.09.2013</t>
  </si>
  <si>
    <t>33.04.09.2014</t>
  </si>
  <si>
    <t>33.04.09.2015</t>
  </si>
  <si>
    <t>33.04.09.2016</t>
  </si>
  <si>
    <t>33.04.09.2017</t>
  </si>
  <si>
    <t>33.04.10</t>
  </si>
  <si>
    <t>33.04.10.2001</t>
  </si>
  <si>
    <t>33.04.10.2002</t>
  </si>
  <si>
    <t>33.04.10.2003</t>
  </si>
  <si>
    <t>33.04.10.2004</t>
  </si>
  <si>
    <t>33.04.10.2005</t>
  </si>
  <si>
    <t>33.04.10.2006</t>
  </si>
  <si>
    <t>33.04.10.2007</t>
  </si>
  <si>
    <t>33.04.10.2008</t>
  </si>
  <si>
    <t>33.04.10.2009</t>
  </si>
  <si>
    <t>33.04.10.2010</t>
  </si>
  <si>
    <t>33.04.10.2011</t>
  </si>
  <si>
    <t>33.04.11</t>
  </si>
  <si>
    <t>33.04.11.2001</t>
  </si>
  <si>
    <t>33.04.11.2002</t>
  </si>
  <si>
    <t>33.04.11.2003</t>
  </si>
  <si>
    <t>33.04.11.2004</t>
  </si>
  <si>
    <t>33.04.11.2005</t>
  </si>
  <si>
    <t>33.04.11.2006</t>
  </si>
  <si>
    <t>33.04.11.2007</t>
  </si>
  <si>
    <t>33.04.11.2008</t>
  </si>
  <si>
    <t>33.04.11.2009</t>
  </si>
  <si>
    <t>33.04.11.2010</t>
  </si>
  <si>
    <t>33.04.11.2011</t>
  </si>
  <si>
    <t>33.04.12</t>
  </si>
  <si>
    <t>33.04.12.2001</t>
  </si>
  <si>
    <t>33.04.12.2002</t>
  </si>
  <si>
    <t>33.04.12.2003</t>
  </si>
  <si>
    <t>33.04.12.2004</t>
  </si>
  <si>
    <t>33.04.12.2005</t>
  </si>
  <si>
    <t>33.04.12.2006</t>
  </si>
  <si>
    <t>33.04.12.2007</t>
  </si>
  <si>
    <t>33.04.12.2008</t>
  </si>
  <si>
    <t>33.04.12.2009</t>
  </si>
  <si>
    <t>33.04.12.2010</t>
  </si>
  <si>
    <t>33.04.12.2011</t>
  </si>
  <si>
    <t>33.04.12.2012</t>
  </si>
  <si>
    <t>33.04.12.2013</t>
  </si>
  <si>
    <t>33.04.12.2014</t>
  </si>
  <si>
    <t>33.04.12.2015</t>
  </si>
  <si>
    <t>33.04.12.2016</t>
  </si>
  <si>
    <t>33.04.12.2017</t>
  </si>
  <si>
    <t>33.04.13</t>
  </si>
  <si>
    <t>33.04.13.2001</t>
  </si>
  <si>
    <t>33.04.13.2002</t>
  </si>
  <si>
    <t>33.04.13.2003</t>
  </si>
  <si>
    <t>33.04.13.2004</t>
  </si>
  <si>
    <t>33.04.13.2005</t>
  </si>
  <si>
    <t>33.04.13.2006</t>
  </si>
  <si>
    <t>33.04.13.2007</t>
  </si>
  <si>
    <t>33.04.13.2008</t>
  </si>
  <si>
    <t>33.04.13.2009</t>
  </si>
  <si>
    <t>33.04.13.2010</t>
  </si>
  <si>
    <t>33.04.13.2011</t>
  </si>
  <si>
    <t>33.04.13.2012</t>
  </si>
  <si>
    <t>KAB. BANJARNEGARA</t>
  </si>
  <si>
    <t>SUSUKAN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</si>
  <si>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</si>
  <si>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</si>
  <si>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</si>
  <si>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</si>
  <si>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</si>
  <si>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</si>
  <si>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</si>
  <si>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</si>
  <si>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</si>
  <si>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KARANGSALAM</t>
  </si>
  <si>
    <t>KEMRANGGON</t>
  </si>
  <si>
    <t>DERMASARI</t>
  </si>
  <si>
    <t>KEDAWUNG</t>
  </si>
  <si>
    <t>KARANGJATI</t>
  </si>
  <si>
    <t>PURWOREJA KLAMPOK</t>
  </si>
  <si>
    <t>SIRKANDI</t>
  </si>
  <si>
    <t>PAGAK</t>
  </si>
  <si>
    <t>KECITRAN</t>
  </si>
  <si>
    <t>PURWAREJA</t>
  </si>
  <si>
    <t>KLAMPOK</t>
  </si>
  <si>
    <t>KALILANDAK</t>
  </si>
  <si>
    <t>KALIMANDI</t>
  </si>
  <si>
    <t>KALIWINASUH</t>
  </si>
  <si>
    <t>MANDIRAJA</t>
  </si>
  <si>
    <t>JALATUNDA</t>
  </si>
  <si>
    <t>SOMAWANGI</t>
  </si>
  <si>
    <t>KALIWUNGU</t>
  </si>
  <si>
    <t>KEBANARAN</t>
  </si>
  <si>
    <t>GLEMPANG</t>
  </si>
  <si>
    <t>SALAMERTA</t>
  </si>
  <si>
    <t>PURWASABA</t>
  </si>
  <si>
    <t>BLIMBING</t>
  </si>
  <si>
    <t>PANGGISARI</t>
  </si>
  <si>
    <t>CANDIWULAN</t>
  </si>
  <si>
    <t>SIMBANG</t>
  </si>
  <si>
    <t>KERTAYASA</t>
  </si>
  <si>
    <t>BANJENGAN</t>
  </si>
  <si>
    <t>MANDIRAJA KULON</t>
  </si>
  <si>
    <t>KEBAKALAN</t>
  </si>
  <si>
    <t>MANDIRAJA WETAN</t>
  </si>
  <si>
    <t>PURWANEGARA</t>
  </si>
  <si>
    <t>KALITENGAH</t>
  </si>
  <si>
    <t>MERDEN</t>
  </si>
  <si>
    <t>KARANGANYAR</t>
  </si>
  <si>
    <t>KALIAJIR</t>
  </si>
  <si>
    <t>PETIR</t>
  </si>
  <si>
    <t>PUCUNGBEDUG</t>
  </si>
  <si>
    <t>PARAKAN</t>
  </si>
  <si>
    <t>MERTASARI</t>
  </si>
  <si>
    <t>DANARAJA</t>
  </si>
  <si>
    <t>PURWONEGORO</t>
  </si>
  <si>
    <t>KALIPELUS</t>
  </si>
  <si>
    <t>GUMIWANG</t>
  </si>
  <si>
    <t>KUTAWULUH</t>
  </si>
  <si>
    <t>BAWANG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</si>
  <si>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</si>
  <si>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</si>
  <si>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</si>
  <si>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</si>
  <si>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</si>
  <si>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</si>
  <si>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</si>
  <si>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</si>
  <si>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</si>
  <si>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</si>
  <si>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</si>
  <si>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</si>
  <si>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</si>
  <si>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</si>
  <si>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</si>
  <si>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</si>
  <si>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</si>
  <si>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BANJARNEGARA</t>
  </si>
  <si>
    <t>ARGASOKA</t>
  </si>
  <si>
    <t>KARANGTENGAH</t>
  </si>
  <si>
    <t>WANGON</t>
  </si>
  <si>
    <t>SEMAMPIR</t>
  </si>
  <si>
    <t>SOKANANDI</t>
  </si>
  <si>
    <t>PARAKANCANGGAH</t>
  </si>
  <si>
    <t>SEMARANG</t>
  </si>
  <si>
    <t>KRANDEGAN</t>
  </si>
  <si>
    <t>KUTABANJARNEGARA</t>
  </si>
  <si>
    <t>AMPELSARI</t>
  </si>
  <si>
    <t>TLAGAWERA</t>
  </si>
  <si>
    <t>CENDANA</t>
  </si>
  <si>
    <t>SOKAYASA</t>
  </si>
  <si>
    <t>SIGALUH</t>
  </si>
  <si>
    <t>KALIBENDA</t>
  </si>
  <si>
    <t>PRINGAMBA</t>
  </si>
  <si>
    <t>SAWAL</t>
  </si>
  <si>
    <t>PANAWAREN</t>
  </si>
  <si>
    <t>TUNGGARA</t>
  </si>
  <si>
    <t>RANDEGAN</t>
  </si>
  <si>
    <t>BOJANEGARA</t>
  </si>
  <si>
    <t>PRIGI</t>
  </si>
  <si>
    <t>GEMBONGAN</t>
  </si>
  <si>
    <t>KEMIRI</t>
  </si>
  <si>
    <t>KARANGMANGU</t>
  </si>
  <si>
    <t>WANACIPTA</t>
  </si>
  <si>
    <t>SINGAMERTA</t>
  </si>
  <si>
    <t>MADUKARA</t>
  </si>
  <si>
    <t>KENTENG</t>
  </si>
  <si>
    <t>REJASA</t>
  </si>
  <si>
    <t>LIMBANGAN</t>
  </si>
  <si>
    <t>PENAWANGAN</t>
  </si>
  <si>
    <t>TALUNAMBA</t>
  </si>
  <si>
    <t>PEKAUMAN</t>
  </si>
  <si>
    <t>PAGELAK</t>
  </si>
  <si>
    <t>DAWUHAN</t>
  </si>
  <si>
    <t>BANTARWARU</t>
  </si>
  <si>
    <t>SERED</t>
  </si>
  <si>
    <t>PETAMBAKAN</t>
  </si>
  <si>
    <t>RAKITAN</t>
  </si>
  <si>
    <t>BLITAR</t>
  </si>
  <si>
    <t>KALIURIP</t>
  </si>
  <si>
    <t>GUNUNGGIANA</t>
  </si>
  <si>
    <t>CLAPAR</t>
  </si>
  <si>
    <t>PAKELEN</t>
  </si>
  <si>
    <t>BANJARMANGU</t>
  </si>
  <si>
    <t>JENGGAWUR</t>
  </si>
  <si>
    <t>BANJARKULON</t>
  </si>
  <si>
    <t>REJASARI</t>
  </si>
  <si>
    <t>KESENET</t>
  </si>
  <si>
    <t>KALILUNJAR</t>
  </si>
  <si>
    <t>SIJERUK</t>
  </si>
  <si>
    <t>KENDAGA</t>
  </si>
  <si>
    <t>GRIPIT</t>
  </si>
  <si>
    <t>PEKANDANGAN</t>
  </si>
  <si>
    <t>SIGEBLOG</t>
  </si>
  <si>
    <t>PASEH</t>
  </si>
  <si>
    <t>SIPEDANG</t>
  </si>
  <si>
    <t>SIJENGGUNG</t>
  </si>
  <si>
    <t>BEJI</t>
  </si>
  <si>
    <t>PRENDENGAN</t>
  </si>
  <si>
    <t>MAJATENGAH</t>
  </si>
  <si>
    <t>WANADADI</t>
  </si>
  <si>
    <t>KASILIB</t>
  </si>
  <si>
    <t>TAPEN</t>
  </si>
  <si>
    <t>KARANGJAMBE</t>
  </si>
  <si>
    <t>WANAKARSA</t>
  </si>
  <si>
    <t>LEMAHJAYA</t>
  </si>
  <si>
    <t>KARANGKEMIRI</t>
  </si>
  <si>
    <t>KANDANGWANGI</t>
  </si>
  <si>
    <t>MEDAYU</t>
  </si>
  <si>
    <t>LINGGASARI</t>
  </si>
  <si>
    <t>GUMINGSIR</t>
  </si>
  <si>
    <t>RAKIT</t>
  </si>
  <si>
    <t>PINGIT</t>
  </si>
  <si>
    <t>SITUWANGI</t>
  </si>
  <si>
    <t>GELANG</t>
  </si>
  <si>
    <t>ADIPASIR</t>
  </si>
  <si>
    <t>KINCANG</t>
  </si>
  <si>
    <t>BADAMITA</t>
  </si>
  <si>
    <t>TANJUNGANOM</t>
  </si>
  <si>
    <t>LUWUNG</t>
  </si>
  <si>
    <t>LENGKONG</t>
  </si>
  <si>
    <t>PUNGGELAN</t>
  </si>
  <si>
    <t>SAMBONG</t>
  </si>
  <si>
    <t>DANAKERTA</t>
  </si>
  <si>
    <t>KLAPA</t>
  </si>
  <si>
    <t>KECEPIT</t>
  </si>
  <si>
    <t>KARANGSARI</t>
  </si>
  <si>
    <t>TRIBUANA</t>
  </si>
  <si>
    <t>SAWANGAN</t>
  </si>
  <si>
    <t>SIDARATA</t>
  </si>
  <si>
    <t>BADAKARYA</t>
  </si>
  <si>
    <t>JEMBANGAN</t>
  </si>
  <si>
    <t>PURWASANA</t>
  </si>
  <si>
    <t>PETUGURAN</t>
  </si>
  <si>
    <t>BONDOLHARJO</t>
  </si>
  <si>
    <t>TANJUNGTIRTA</t>
  </si>
  <si>
    <t>TLAGA</t>
  </si>
  <si>
    <t>MLAYA</t>
  </si>
  <si>
    <t>KARANGKOBAR</t>
  </si>
  <si>
    <t>PAWEDEN</t>
  </si>
  <si>
    <t>GUMELAR</t>
  </si>
  <si>
    <t>PURWODADI</t>
  </si>
  <si>
    <t>SAMPANG</t>
  </si>
  <si>
    <t>SLATRI</t>
  </si>
  <si>
    <t>PAGERPELAH</t>
  </si>
  <si>
    <t>PASURUHAN</t>
  </si>
  <si>
    <t>KARANGGONDANG</t>
  </si>
  <si>
    <t>JLEGONG</t>
  </si>
  <si>
    <t>AMBAL</t>
  </si>
  <si>
    <t>BINANGUN</t>
  </si>
  <si>
    <t>33.04.13.2013</t>
  </si>
  <si>
    <t>33.04.14</t>
  </si>
  <si>
    <t>33.04.14.2001</t>
  </si>
  <si>
    <t>33.04.14.2002</t>
  </si>
  <si>
    <t>33.04.14.2003</t>
  </si>
  <si>
    <t>33.04.14.2004</t>
  </si>
  <si>
    <t>33.04.14.2005</t>
  </si>
  <si>
    <t>33.04.14.2006</t>
  </si>
  <si>
    <t>33.04.14.2007</t>
  </si>
  <si>
    <t>33.04.14.2008</t>
  </si>
  <si>
    <t>33.04.14.2009</t>
  </si>
  <si>
    <t>33.04.14.2010</t>
  </si>
  <si>
    <t>33.04.14.2011</t>
  </si>
  <si>
    <t>33.04.14.2012</t>
  </si>
  <si>
    <t>33.04.14.2013</t>
  </si>
  <si>
    <t>33.04.14.2014</t>
  </si>
  <si>
    <t>33.04.14.2015</t>
  </si>
  <si>
    <t>33.04.14.2016</t>
  </si>
  <si>
    <t>33.04.15</t>
  </si>
  <si>
    <t>33.04.15.2001</t>
  </si>
  <si>
    <t>33.04.15.2002</t>
  </si>
  <si>
    <t>33.04.15.2003</t>
  </si>
  <si>
    <t>33.04.15.2004</t>
  </si>
  <si>
    <t>33.04.15.2005</t>
  </si>
  <si>
    <t>33.04.15.2006</t>
  </si>
  <si>
    <t>33.04.15.2007</t>
  </si>
  <si>
    <t>33.04.15.2008</t>
  </si>
  <si>
    <t>33.04.15.2009</t>
  </si>
  <si>
    <t>33.04.15.2010</t>
  </si>
  <si>
    <t>33.04.15.2011</t>
  </si>
  <si>
    <t>33.04.15.2012</t>
  </si>
  <si>
    <t>33.04.15.2013</t>
  </si>
  <si>
    <t>33.04.15.2014</t>
  </si>
  <si>
    <t>33.04.15.2015</t>
  </si>
  <si>
    <t>33.04.15.2016</t>
  </si>
  <si>
    <t>33.04.15.2017</t>
  </si>
  <si>
    <t>33.04.16</t>
  </si>
  <si>
    <t>33.04.16.2001</t>
  </si>
  <si>
    <t>33.04.16.2002</t>
  </si>
  <si>
    <t>33.04.16.2003</t>
  </si>
  <si>
    <t>33.04.16.2004</t>
  </si>
  <si>
    <t>33.04.16.2005</t>
  </si>
  <si>
    <t>33.04.16.2006</t>
  </si>
  <si>
    <t>33.04.16.2007</t>
  </si>
  <si>
    <t>33.04.16.2008</t>
  </si>
  <si>
    <t>33.04.17</t>
  </si>
  <si>
    <t>33.04.17.2001</t>
  </si>
  <si>
    <t>33.04.17.2002</t>
  </si>
  <si>
    <t>33.04.17.2003</t>
  </si>
  <si>
    <t>33.04.17.2004</t>
  </si>
  <si>
    <t>33.04.17.2005</t>
  </si>
  <si>
    <t>33.04.17.2006</t>
  </si>
  <si>
    <t>33.04.17.2007</t>
  </si>
  <si>
    <t>33.04.17.2008</t>
  </si>
  <si>
    <t>33.04.17.2009</t>
  </si>
  <si>
    <t>33.04.17.2010</t>
  </si>
  <si>
    <t>33.04.17.2011</t>
  </si>
  <si>
    <t>33.04.17.2012</t>
  </si>
  <si>
    <t>33.04.17.2013</t>
  </si>
  <si>
    <t>33.04.17.2014</t>
  </si>
  <si>
    <t>33.04.17.2015</t>
  </si>
  <si>
    <t>33.04.17.2016</t>
  </si>
  <si>
    <t>33.04.17.2017</t>
  </si>
  <si>
    <t>33.04.18</t>
  </si>
  <si>
    <t>33.04.18.2001</t>
  </si>
  <si>
    <t>33.04.18.2002</t>
  </si>
  <si>
    <t>33.04.18.2003</t>
  </si>
  <si>
    <t>33.04.18.2004</t>
  </si>
  <si>
    <t>33.04.18.2005</t>
  </si>
  <si>
    <t>33.04.18.2006</t>
  </si>
  <si>
    <t>33.04.18.2007</t>
  </si>
  <si>
    <t>33.04.18.2008</t>
  </si>
  <si>
    <t>33.04.18.2009</t>
  </si>
  <si>
    <t>33.04.18.2010</t>
  </si>
  <si>
    <t>33.04.18.2011</t>
  </si>
  <si>
    <t>33.04.18.2012</t>
  </si>
  <si>
    <t>33.04.18.2013</t>
  </si>
  <si>
    <t>33.04.18.2014</t>
  </si>
  <si>
    <t>33.04.18.2015</t>
  </si>
  <si>
    <t>33.04.18.2016</t>
  </si>
  <si>
    <t>33.04.19</t>
  </si>
  <si>
    <t>33.04.19.2001</t>
  </si>
  <si>
    <t>33.04.19.2002</t>
  </si>
  <si>
    <t>33.04.19.2003</t>
  </si>
  <si>
    <t>33.04.19.2004</t>
  </si>
  <si>
    <t>33.04.19.2005</t>
  </si>
  <si>
    <t>33.04.19.2006</t>
  </si>
  <si>
    <t>33.04.19.2007</t>
  </si>
  <si>
    <t>33.04.19.2008</t>
  </si>
  <si>
    <t>33.04.20</t>
  </si>
  <si>
    <t>33.04.20.2001</t>
  </si>
  <si>
    <t>33.04.20.2002</t>
  </si>
  <si>
    <t>33.04.20.2003</t>
  </si>
  <si>
    <t>33.04.20.2004</t>
  </si>
  <si>
    <t>33.04.20.2005</t>
  </si>
  <si>
    <t>33.04.20.2006</t>
  </si>
  <si>
    <t>33.04.20.2007</t>
  </si>
  <si>
    <t>33.04.20.2008</t>
  </si>
  <si>
    <t>33.04.20.2009</t>
  </si>
  <si>
    <t>LEKSANA</t>
  </si>
  <si>
    <t>PAGENTAN</t>
  </si>
  <si>
    <t>LARANGAN</t>
  </si>
  <si>
    <t>KARANGNANGKA</t>
  </si>
  <si>
    <t>ARIBAYA</t>
  </si>
  <si>
    <t>NAGASARI</t>
  </si>
  <si>
    <t>SOKARAJA</t>
  </si>
  <si>
    <t>KAYUARES</t>
  </si>
  <si>
    <t>METAWANA</t>
  </si>
  <si>
    <t>KALITLAGA</t>
  </si>
  <si>
    <t>KAREKAN</t>
  </si>
  <si>
    <t>PLUMBUNGAN</t>
  </si>
  <si>
    <t>KASMARAN</t>
  </si>
  <si>
    <t>MAJASARI</t>
  </si>
  <si>
    <t>BABADAN</t>
  </si>
  <si>
    <t>TEGALJERUK</t>
  </si>
  <si>
    <t>PEJAWARAN</t>
  </si>
  <si>
    <t>SARWODADI</t>
  </si>
  <si>
    <t>GROGOL</t>
  </si>
  <si>
    <t>GIRITIRTA</t>
  </si>
  <si>
    <t>BITING</t>
  </si>
  <si>
    <t>TLAHAB</t>
  </si>
  <si>
    <t>DARMAYASA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</si>
  <si>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</si>
  <si>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</si>
  <si>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</si>
  <si>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</si>
  <si>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</si>
  <si>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</si>
  <si>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</si>
  <si>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BATUR</t>
  </si>
  <si>
    <t>SUMBEREJO</t>
  </si>
  <si>
    <t>PASURENAN</t>
  </si>
  <si>
    <t>PEKASIRAN</t>
  </si>
  <si>
    <t>KEPAKISAN</t>
  </si>
  <si>
    <t>BAKAL</t>
  </si>
  <si>
    <t>DIENG KULON</t>
  </si>
  <si>
    <t>WANAYASA</t>
  </si>
  <si>
    <t>SUWIDAK</t>
  </si>
  <si>
    <t>BANTAR</t>
  </si>
  <si>
    <t>PANDANSARI</t>
  </si>
  <si>
    <t>PAGERGUNUNG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</si>
  <si>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</si>
  <si>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</si>
  <si>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</si>
  <si>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</si>
  <si>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</si>
  <si>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</si>
  <si>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</si>
  <si>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</si>
  <si>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</si>
  <si>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KALIBENING</t>
  </si>
  <si>
    <t>ASINAN</t>
  </si>
  <si>
    <t>SEMBAWA</t>
  </si>
  <si>
    <t>KALIBOMBONG</t>
  </si>
  <si>
    <t>KALISAT KIDUL</t>
  </si>
  <si>
    <t>SIRUKEM</t>
  </si>
  <si>
    <t>KERTOSARI</t>
  </si>
  <si>
    <t>SIDAKANGEN</t>
  </si>
  <si>
    <t>SIKUMPUL</t>
  </si>
  <si>
    <t>GUNUNGLANGIT</t>
  </si>
  <si>
    <t>BEDANA</t>
  </si>
  <si>
    <t>SIRUKUN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</si>
  <si>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</si>
  <si>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</si>
  <si>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</si>
  <si>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</si>
  <si>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</si>
  <si>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</si>
  <si>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</si>
  <si>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</si>
  <si>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</si>
  <si>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</si>
  <si>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</si>
  <si>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</si>
  <si>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</si>
  <si>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</si>
  <si>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DUREN</t>
  </si>
  <si>
    <t>LEBAKWANGI</t>
  </si>
  <si>
    <t>GENTANSARI</t>
  </si>
  <si>
    <t>Agregat Penduduk per Kabupaten/Kota</t>
  </si>
  <si>
    <t/>
  </si>
  <si>
    <t>No</t>
  </si>
  <si>
    <t>Kabupaten/Kota</t>
  </si>
  <si>
    <t>Pria</t>
  </si>
  <si>
    <t>Wanita</t>
  </si>
  <si>
    <t>Jumlah</t>
  </si>
  <si>
    <t>Kode</t>
  </si>
  <si>
    <t>Nama</t>
  </si>
  <si>
    <t>%</t>
  </si>
  <si>
    <t>Kab./Kota</t>
  </si>
  <si>
    <t>Jumlah Total</t>
  </si>
  <si>
    <t>Agregat Penduduk per Kecamatan</t>
  </si>
  <si>
    <t>Kabupaten/Kota : 33.04 BANJARNEGARA</t>
  </si>
  <si>
    <t>Kecamatan</t>
  </si>
  <si>
    <t>Agregat Penduduk per Desa/Kelurahan</t>
  </si>
  <si>
    <t>Kecamatan : 33.04.01 SUSUKAN</t>
  </si>
  <si>
    <t>Desa/Kelurahan</t>
  </si>
  <si>
    <t>Desa/Kel.</t>
  </si>
  <si>
    <t>Kecamatan : 33.04.02 PURWAREJA KLAMPOK</t>
  </si>
  <si>
    <t>Kecamatan : 33.04.03 MANDIRAJA</t>
  </si>
  <si>
    <t>Kecamatan : 33.04.04 PURWANEGARA</t>
  </si>
  <si>
    <t>Kecamatan : 33.04.05 BAWANG</t>
  </si>
  <si>
    <t>Kecamatan : 33.04.06 BANJARNEGARA</t>
  </si>
  <si>
    <t>Kecamatan : 33.04.07 SIGALUH</t>
  </si>
  <si>
    <t>Kecamatan : 33.04.08 MADUKARA</t>
  </si>
  <si>
    <t>Kecamatan : 33.04.09 BANJARMANGU</t>
  </si>
  <si>
    <t>Kecamatan : 33.04.10 WANADADI</t>
  </si>
  <si>
    <t>Kecamatan : 33.04.11 RAKIT</t>
  </si>
  <si>
    <t>Kecamatan : 33.04.12 PUNGGELAN</t>
  </si>
  <si>
    <t>Kecamatan : 33.04.13 KARANGKOBAR</t>
  </si>
  <si>
    <t>Kecamatan : 33.04.14 PAGENTAN</t>
  </si>
  <si>
    <t>Kecamatan : 33.04.15 PEJAWARAN</t>
  </si>
  <si>
    <t>Kecamatan : 33.04.16 BATUR</t>
  </si>
  <si>
    <t>Kecamatan : 33.04.17 WANAYASA</t>
  </si>
  <si>
    <t>Kecamatan : 33.04.18 KALIBENING</t>
  </si>
  <si>
    <t>Kecamatan : 33.04.19 PANDANARUM</t>
  </si>
  <si>
    <t>Kecamatan : 33.04.20 PAGEDONGAN</t>
  </si>
  <si>
    <t>IDEM</t>
  </si>
  <si>
    <t>LK</t>
  </si>
  <si>
    <t>PR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</si>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</sst>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3A7FD"/>
        <bgColor indexed="64"/>
      </patternFill>
    </fill>
    <fill>
      <patternFill patternType="solid">
        <fgColor rgb="FFFFDA46"/>
        <bgColor indexed="64"/>
      </patternFill>
    </fill>
    <fill>
      <patternFill patternType="solid">
        <fgColor rgb="FFBAD3FE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</cellStyleXfs>
  <cellXfs count="84">
    <xf numFmtId="0" fontId="0" fillId="0" borderId="0" xfId="0"/>
    <xf numFmtId="3" fontId="0" fillId="0" borderId="1" xfId="0" applyNumberFormat="1" applyBorder="1"/>
    <xf numFmtId="3" fontId="0" fillId="0" borderId="2" xfId="0" applyNumberFormat="1" applyBorder="1"/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0" fontId="0" fillId="5" borderId="8" xfId="0" applyNumberForma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10" fontId="0" fillId="6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righ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3" fontId="0" fillId="7" borderId="8" xfId="0" applyNumberForma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0" fontId="5" fillId="0" borderId="0" xfId="1"/>
    <xf numFmtId="0" fontId="2" fillId="0" borderId="0" xfId="2"/>
    <xf numFmtId="0" fontId="2" fillId="0" borderId="0" xfId="2" applyAlignment="1">
      <alignment horizontal="center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3" fontId="8" fillId="0" borderId="8" xfId="2" applyNumberFormat="1" applyFont="1" applyBorder="1" applyAlignment="1">
      <alignment horizontal="right" vertical="center"/>
    </xf>
    <xf numFmtId="0" fontId="8" fillId="2" borderId="8" xfId="2" applyFont="1" applyFill="1" applyBorder="1" applyAlignment="1">
      <alignment vertical="center" wrapText="1"/>
    </xf>
    <xf numFmtId="2" fontId="8" fillId="2" borderId="8" xfId="3" applyNumberFormat="1" applyFont="1" applyFill="1" applyBorder="1" applyAlignment="1">
      <alignment horizontal="right" vertical="center" wrapText="1"/>
    </xf>
    <xf numFmtId="2" fontId="8" fillId="2" borderId="8" xfId="2" applyNumberFormat="1" applyFont="1" applyFill="1" applyBorder="1" applyAlignment="1">
      <alignment horizontal="right" vertical="center" wrapText="1"/>
    </xf>
    <xf numFmtId="3" fontId="8" fillId="7" borderId="8" xfId="2" applyNumberFormat="1" applyFont="1" applyFill="1" applyBorder="1" applyAlignment="1">
      <alignment horizontal="right" vertical="center"/>
    </xf>
    <xf numFmtId="10" fontId="2" fillId="0" borderId="0" xfId="2" applyNumberFormat="1"/>
    <xf numFmtId="3" fontId="7" fillId="5" borderId="8" xfId="2" applyNumberFormat="1" applyFont="1" applyFill="1" applyBorder="1" applyAlignment="1">
      <alignment horizontal="right" vertical="center" wrapText="1"/>
    </xf>
    <xf numFmtId="2" fontId="7" fillId="7" borderId="8" xfId="2" applyNumberFormat="1" applyFont="1" applyFill="1" applyBorder="1" applyAlignment="1">
      <alignment horizontal="right" vertical="center" wrapText="1"/>
    </xf>
    <xf numFmtId="3" fontId="7" fillId="6" borderId="8" xfId="2" applyNumberFormat="1" applyFont="1" applyFill="1" applyBorder="1" applyAlignment="1">
      <alignment horizontal="right" vertical="center" wrapText="1"/>
    </xf>
    <xf numFmtId="1" fontId="7" fillId="7" borderId="8" xfId="2" applyNumberFormat="1" applyFont="1" applyFill="1" applyBorder="1" applyAlignment="1">
      <alignment horizontal="right" vertical="center" wrapText="1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vertical="center"/>
    </xf>
    <xf numFmtId="0" fontId="9" fillId="2" borderId="8" xfId="2" applyFont="1" applyFill="1" applyBorder="1" applyAlignment="1">
      <alignment vertical="center"/>
    </xf>
    <xf numFmtId="0" fontId="8" fillId="0" borderId="8" xfId="2" applyFont="1" applyBorder="1" applyAlignment="1">
      <alignment horizontal="right" vertical="center"/>
    </xf>
    <xf numFmtId="3" fontId="7" fillId="7" borderId="8" xfId="2" applyNumberFormat="1" applyFont="1" applyFill="1" applyBorder="1" applyAlignment="1">
      <alignment horizontal="right" vertical="center"/>
    </xf>
    <xf numFmtId="2" fontId="7" fillId="8" borderId="8" xfId="2" applyNumberFormat="1" applyFont="1" applyFill="1" applyBorder="1" applyAlignment="1">
      <alignment horizontal="right" vertical="center"/>
    </xf>
    <xf numFmtId="1" fontId="7" fillId="8" borderId="8" xfId="2" applyNumberFormat="1" applyFont="1" applyFill="1" applyBorder="1" applyAlignment="1">
      <alignment horizontal="right" vertical="center"/>
    </xf>
    <xf numFmtId="0" fontId="2" fillId="0" borderId="0" xfId="2" applyAlignment="1">
      <alignment vertical="center"/>
    </xf>
    <xf numFmtId="3" fontId="8" fillId="0" borderId="8" xfId="2" applyNumberFormat="1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10" fillId="2" borderId="8" xfId="2" applyFont="1" applyFill="1" applyBorder="1" applyAlignment="1">
      <alignment vertical="center"/>
    </xf>
    <xf numFmtId="2" fontId="8" fillId="2" borderId="8" xfId="2" applyNumberFormat="1" applyFont="1" applyFill="1" applyBorder="1" applyAlignment="1">
      <alignment horizontal="right" vertical="center"/>
    </xf>
    <xf numFmtId="3" fontId="7" fillId="5" borderId="8" xfId="2" applyNumberFormat="1" applyFont="1" applyFill="1" applyBorder="1" applyAlignment="1">
      <alignment horizontal="right" vertical="center"/>
    </xf>
    <xf numFmtId="3" fontId="7" fillId="6" borderId="8" xfId="2" applyNumberFormat="1" applyFont="1" applyFill="1" applyBorder="1" applyAlignment="1">
      <alignment horizontal="right" vertical="center"/>
    </xf>
    <xf numFmtId="2" fontId="0" fillId="2" borderId="8" xfId="0" applyNumberFormat="1" applyFill="1" applyBorder="1" applyAlignment="1">
      <alignment horizontal="right" vertical="center" wrapText="1"/>
    </xf>
    <xf numFmtId="2" fontId="4" fillId="8" borderId="8" xfId="0" applyNumberFormat="1" applyFont="1" applyFill="1" applyBorder="1" applyAlignment="1">
      <alignment horizontal="right" vertical="center" wrapText="1"/>
    </xf>
    <xf numFmtId="1" fontId="0" fillId="2" borderId="8" xfId="0" applyNumberFormat="1" applyFill="1" applyBorder="1" applyAlignment="1">
      <alignment horizontal="right" vertical="center" wrapText="1"/>
    </xf>
    <xf numFmtId="1" fontId="4" fillId="8" borderId="8" xfId="0" applyNumberFormat="1" applyFont="1" applyFill="1" applyBorder="1" applyAlignment="1">
      <alignment horizontal="right" vertical="center" wrapText="1"/>
    </xf>
    <xf numFmtId="0" fontId="1" fillId="0" borderId="0" xfId="2" applyFont="1"/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top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right" vertical="center" wrapText="1"/>
    </xf>
    <xf numFmtId="0" fontId="6" fillId="0" borderId="0" xfId="2" applyFont="1" applyAlignment="1">
      <alignment horizontal="center"/>
    </xf>
    <xf numFmtId="0" fontId="7" fillId="3" borderId="8" xfId="2" applyFont="1" applyFill="1" applyBorder="1" applyAlignment="1">
      <alignment vertical="center" wrapText="1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vertical="center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right" vertical="center"/>
    </xf>
    <xf numFmtId="0" fontId="7" fillId="3" borderId="3" xfId="2" applyFont="1" applyFill="1" applyBorder="1" applyAlignment="1">
      <alignment vertical="center"/>
    </xf>
    <xf numFmtId="0" fontId="7" fillId="3" borderId="4" xfId="2" applyFont="1" applyFill="1" applyBorder="1" applyAlignment="1">
      <alignment vertical="center"/>
    </xf>
    <xf numFmtId="0" fontId="7" fillId="3" borderId="5" xfId="2" applyFont="1" applyFill="1" applyBorder="1" applyAlignment="1">
      <alignment vertical="center"/>
    </xf>
    <xf numFmtId="0" fontId="7" fillId="4" borderId="8" xfId="2" applyFont="1" applyFill="1" applyBorder="1" applyAlignment="1">
      <alignment horizontal="right" vertical="center"/>
    </xf>
  </cellXfs>
  <cellStyles count="4">
    <cellStyle name="Normal" xfId="0" builtinId="0"/>
    <cellStyle name="Normal 2" xfId="1" xr:uid="{ECF038BB-D2DB-4780-B166-D1342B6A94B6}"/>
    <cellStyle name="Normal 3" xfId="2" xr:uid="{E2BA1E72-2601-4759-8185-48A43C44D531}"/>
    <cellStyle name="Percent 2" xfId="3" xr:uid="{DBB1CDC9-0396-4D6E-8278-120975FC3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AFC8-F372-4492-A40B-10E9BD75177F}">
  <dimension ref="A1:F300"/>
  <sheetViews>
    <sheetView tabSelected="1" workbookViewId="0">
      <selection activeCell="J5" sqref="J5"/>
    </sheetView>
  </sheetViews>
  <sheetFormatPr defaultRowHeight="14.4" x14ac:dyDescent="0.3"/>
  <cols>
    <col min="1" max="1" width="8.88671875" style="15"/>
    <col min="2" max="2" width="12.6640625" style="15" bestFit="1" customWidth="1"/>
    <col min="3" max="3" width="20.109375" style="15" bestFit="1" customWidth="1"/>
    <col min="4" max="16384" width="8.88671875" style="15"/>
  </cols>
  <sheetData>
    <row r="1" spans="1:6" x14ac:dyDescent="0.3">
      <c r="A1" s="15" t="s">
        <v>607</v>
      </c>
      <c r="B1" s="15" t="s">
        <v>0</v>
      </c>
      <c r="C1" s="15" t="s">
        <v>1</v>
      </c>
      <c r="D1" s="15" t="s">
        <v>608</v>
      </c>
      <c r="E1" s="15" t="s">
        <v>609</v>
      </c>
      <c r="F1" s="15" t="s">
        <v>2</v>
      </c>
    </row>
    <row r="2" spans="1:6" x14ac:dyDescent="0.3">
      <c r="A2" s="15">
        <v>2</v>
      </c>
      <c r="B2" s="15" t="s">
        <v>3</v>
      </c>
      <c r="C2" s="15" t="s">
        <v>203</v>
      </c>
      <c r="D2" s="15">
        <v>539745</v>
      </c>
      <c r="E2" s="15">
        <v>521513</v>
      </c>
      <c r="F2" s="15">
        <v>1061258</v>
      </c>
    </row>
    <row r="3" spans="1:6" x14ac:dyDescent="0.3">
      <c r="A3" s="15">
        <v>3</v>
      </c>
      <c r="B3" s="15" t="s">
        <v>4</v>
      </c>
      <c r="C3" s="15" t="s">
        <v>204</v>
      </c>
      <c r="D3" s="15">
        <v>32943</v>
      </c>
      <c r="E3" s="15">
        <v>32364</v>
      </c>
      <c r="F3" s="15">
        <v>65307</v>
      </c>
    </row>
    <row r="4" spans="1:6" x14ac:dyDescent="0.3">
      <c r="A4" s="15">
        <v>4</v>
      </c>
      <c r="B4" s="15" t="s">
        <v>5</v>
      </c>
      <c r="C4" s="15" t="s">
        <v>205</v>
      </c>
      <c r="D4" s="15">
        <v>2055</v>
      </c>
      <c r="E4" s="15">
        <v>1961</v>
      </c>
      <c r="F4" s="15">
        <v>4016</v>
      </c>
    </row>
    <row r="5" spans="1:6" x14ac:dyDescent="0.3">
      <c r="A5" s="15">
        <v>4</v>
      </c>
      <c r="B5" s="15" t="s">
        <v>6</v>
      </c>
      <c r="C5" s="15" t="s">
        <v>206</v>
      </c>
      <c r="D5" s="15">
        <v>2140</v>
      </c>
      <c r="E5" s="15">
        <v>2124</v>
      </c>
      <c r="F5" s="15">
        <v>4264</v>
      </c>
    </row>
    <row r="6" spans="1:6" x14ac:dyDescent="0.3">
      <c r="A6" s="15">
        <v>4</v>
      </c>
      <c r="B6" s="15" t="s">
        <v>7</v>
      </c>
      <c r="C6" s="15" t="s">
        <v>207</v>
      </c>
      <c r="D6" s="15">
        <v>5459</v>
      </c>
      <c r="E6" s="15">
        <v>5274</v>
      </c>
      <c r="F6" s="15">
        <v>10733</v>
      </c>
    </row>
    <row r="7" spans="1:6" x14ac:dyDescent="0.3">
      <c r="A7" s="15">
        <v>4</v>
      </c>
      <c r="B7" s="15" t="s">
        <v>8</v>
      </c>
      <c r="C7" s="15" t="s">
        <v>208</v>
      </c>
      <c r="D7" s="15">
        <v>5478</v>
      </c>
      <c r="E7" s="15">
        <v>5358</v>
      </c>
      <c r="F7" s="15">
        <v>10836</v>
      </c>
    </row>
    <row r="8" spans="1:6" x14ac:dyDescent="0.3">
      <c r="A8" s="15">
        <v>4</v>
      </c>
      <c r="B8" s="15" t="s">
        <v>9</v>
      </c>
      <c r="C8" s="15" t="s">
        <v>209</v>
      </c>
      <c r="D8" s="15">
        <v>1489</v>
      </c>
      <c r="E8" s="15">
        <v>1455</v>
      </c>
      <c r="F8" s="15">
        <v>2944</v>
      </c>
    </row>
    <row r="9" spans="1:6" x14ac:dyDescent="0.3">
      <c r="A9" s="15">
        <v>4</v>
      </c>
      <c r="B9" s="15" t="s">
        <v>10</v>
      </c>
      <c r="C9" s="15" t="s">
        <v>210</v>
      </c>
      <c r="D9" s="15">
        <v>1330</v>
      </c>
      <c r="E9" s="15">
        <v>1344</v>
      </c>
      <c r="F9" s="15">
        <v>2674</v>
      </c>
    </row>
    <row r="10" spans="1:6" x14ac:dyDescent="0.3">
      <c r="A10" s="15">
        <v>4</v>
      </c>
      <c r="B10" s="15" t="s">
        <v>11</v>
      </c>
      <c r="C10" s="15" t="s">
        <v>211</v>
      </c>
      <c r="D10" s="15">
        <v>1479</v>
      </c>
      <c r="E10" s="15">
        <v>1409</v>
      </c>
      <c r="F10" s="15">
        <v>2888</v>
      </c>
    </row>
    <row r="11" spans="1:6" x14ac:dyDescent="0.3">
      <c r="A11" s="15">
        <v>4</v>
      </c>
      <c r="B11" s="15" t="s">
        <v>12</v>
      </c>
      <c r="C11" s="15" t="s">
        <v>212</v>
      </c>
      <c r="D11" s="15">
        <v>1459</v>
      </c>
      <c r="E11" s="15">
        <v>1398</v>
      </c>
      <c r="F11" s="15">
        <v>2857</v>
      </c>
    </row>
    <row r="12" spans="1:6" x14ac:dyDescent="0.3">
      <c r="A12" s="15">
        <v>4</v>
      </c>
      <c r="B12" s="15" t="s">
        <v>13</v>
      </c>
      <c r="C12" s="15" t="s">
        <v>213</v>
      </c>
      <c r="D12" s="15">
        <v>650</v>
      </c>
      <c r="E12" s="15">
        <v>672</v>
      </c>
      <c r="F12" s="15">
        <v>1322</v>
      </c>
    </row>
    <row r="13" spans="1:6" x14ac:dyDescent="0.3">
      <c r="A13" s="15">
        <v>4</v>
      </c>
      <c r="B13" s="15" t="s">
        <v>14</v>
      </c>
      <c r="C13" s="15" t="s">
        <v>214</v>
      </c>
      <c r="D13" s="15">
        <v>1400</v>
      </c>
      <c r="E13" s="15">
        <v>1471</v>
      </c>
      <c r="F13" s="15">
        <v>2871</v>
      </c>
    </row>
    <row r="14" spans="1:6" x14ac:dyDescent="0.3">
      <c r="A14" s="15">
        <v>4</v>
      </c>
      <c r="B14" s="15" t="s">
        <v>15</v>
      </c>
      <c r="C14" s="15" t="s">
        <v>215</v>
      </c>
      <c r="D14" s="15">
        <v>1780</v>
      </c>
      <c r="E14" s="15">
        <v>1785</v>
      </c>
      <c r="F14" s="15">
        <v>3565</v>
      </c>
    </row>
    <row r="15" spans="1:6" x14ac:dyDescent="0.3">
      <c r="A15" s="15">
        <v>4</v>
      </c>
      <c r="B15" s="15" t="s">
        <v>16</v>
      </c>
      <c r="C15" s="15" t="s">
        <v>204</v>
      </c>
      <c r="D15" s="15">
        <v>2061</v>
      </c>
      <c r="E15" s="15">
        <v>1957</v>
      </c>
      <c r="F15" s="15">
        <v>4018</v>
      </c>
    </row>
    <row r="16" spans="1:6" x14ac:dyDescent="0.3">
      <c r="A16" s="15">
        <v>4</v>
      </c>
      <c r="B16" s="15" t="s">
        <v>17</v>
      </c>
      <c r="C16" s="15" t="s">
        <v>216</v>
      </c>
      <c r="D16" s="15">
        <v>1497</v>
      </c>
      <c r="E16" s="15">
        <v>1514</v>
      </c>
      <c r="F16" s="15">
        <v>3011</v>
      </c>
    </row>
    <row r="17" spans="1:6" x14ac:dyDescent="0.3">
      <c r="A17" s="15">
        <v>4</v>
      </c>
      <c r="B17" s="15" t="s">
        <v>18</v>
      </c>
      <c r="C17" s="15" t="s">
        <v>217</v>
      </c>
      <c r="D17" s="15">
        <v>2226</v>
      </c>
      <c r="E17" s="15">
        <v>2208</v>
      </c>
      <c r="F17" s="15">
        <v>4434</v>
      </c>
    </row>
    <row r="18" spans="1:6" x14ac:dyDescent="0.3">
      <c r="A18" s="15">
        <v>4</v>
      </c>
      <c r="B18" s="15" t="s">
        <v>19</v>
      </c>
      <c r="C18" s="15" t="s">
        <v>218</v>
      </c>
      <c r="D18" s="15">
        <v>2440</v>
      </c>
      <c r="E18" s="15">
        <v>2434</v>
      </c>
      <c r="F18" s="15">
        <v>4874</v>
      </c>
    </row>
    <row r="19" spans="1:6" x14ac:dyDescent="0.3">
      <c r="A19" s="15">
        <v>3</v>
      </c>
      <c r="B19" s="15" t="s">
        <v>20</v>
      </c>
      <c r="C19" s="15" t="s">
        <v>219</v>
      </c>
      <c r="D19" s="15">
        <v>24641</v>
      </c>
      <c r="E19" s="15">
        <v>24419</v>
      </c>
      <c r="F19" s="15">
        <v>49060</v>
      </c>
    </row>
    <row r="20" spans="1:6" x14ac:dyDescent="0.3">
      <c r="A20" s="15">
        <v>4</v>
      </c>
      <c r="B20" s="15" t="s">
        <v>21</v>
      </c>
      <c r="C20" s="15" t="s">
        <v>220</v>
      </c>
      <c r="D20" s="15">
        <v>3888</v>
      </c>
      <c r="E20" s="15">
        <v>3871</v>
      </c>
      <c r="F20" s="15">
        <v>7759</v>
      </c>
    </row>
    <row r="21" spans="1:6" x14ac:dyDescent="0.3">
      <c r="A21" s="15">
        <v>4</v>
      </c>
      <c r="B21" s="15" t="s">
        <v>22</v>
      </c>
      <c r="C21" s="15" t="s">
        <v>221</v>
      </c>
      <c r="D21" s="15">
        <v>1786</v>
      </c>
      <c r="E21" s="15">
        <v>1787</v>
      </c>
      <c r="F21" s="15">
        <v>3573</v>
      </c>
    </row>
    <row r="22" spans="1:6" x14ac:dyDescent="0.3">
      <c r="A22" s="15">
        <v>4</v>
      </c>
      <c r="B22" s="15" t="s">
        <v>23</v>
      </c>
      <c r="C22" s="15" t="s">
        <v>222</v>
      </c>
      <c r="D22" s="15">
        <v>3129</v>
      </c>
      <c r="E22" s="15">
        <v>3138</v>
      </c>
      <c r="F22" s="15">
        <v>6267</v>
      </c>
    </row>
    <row r="23" spans="1:6" x14ac:dyDescent="0.3">
      <c r="A23" s="15">
        <v>4</v>
      </c>
      <c r="B23" s="15" t="s">
        <v>24</v>
      </c>
      <c r="C23" s="15" t="s">
        <v>223</v>
      </c>
      <c r="D23" s="15">
        <v>4583</v>
      </c>
      <c r="E23" s="15">
        <v>4485</v>
      </c>
      <c r="F23" s="15">
        <v>9068</v>
      </c>
    </row>
    <row r="24" spans="1:6" x14ac:dyDescent="0.3">
      <c r="A24" s="15">
        <v>4</v>
      </c>
      <c r="B24" s="15" t="s">
        <v>25</v>
      </c>
      <c r="C24" s="15" t="s">
        <v>224</v>
      </c>
      <c r="D24" s="15">
        <v>3587</v>
      </c>
      <c r="E24" s="15">
        <v>3632</v>
      </c>
      <c r="F24" s="15">
        <v>7219</v>
      </c>
    </row>
    <row r="25" spans="1:6" x14ac:dyDescent="0.3">
      <c r="A25" s="15">
        <v>4</v>
      </c>
      <c r="B25" s="15" t="s">
        <v>26</v>
      </c>
      <c r="C25" s="15" t="s">
        <v>225</v>
      </c>
      <c r="D25" s="15">
        <v>1832</v>
      </c>
      <c r="E25" s="15">
        <v>1818</v>
      </c>
      <c r="F25" s="15">
        <v>3650</v>
      </c>
    </row>
    <row r="26" spans="1:6" x14ac:dyDescent="0.3">
      <c r="A26" s="15">
        <v>4</v>
      </c>
      <c r="B26" s="15" t="s">
        <v>27</v>
      </c>
      <c r="C26" s="15" t="s">
        <v>226</v>
      </c>
      <c r="D26" s="15">
        <v>3264</v>
      </c>
      <c r="E26" s="15">
        <v>3109</v>
      </c>
      <c r="F26" s="15">
        <v>6373</v>
      </c>
    </row>
    <row r="27" spans="1:6" x14ac:dyDescent="0.3">
      <c r="A27" s="15">
        <v>4</v>
      </c>
      <c r="B27" s="15" t="s">
        <v>28</v>
      </c>
      <c r="C27" s="15" t="s">
        <v>227</v>
      </c>
      <c r="D27" s="15">
        <v>2572</v>
      </c>
      <c r="E27" s="15">
        <v>2579</v>
      </c>
      <c r="F27" s="15">
        <v>5151</v>
      </c>
    </row>
    <row r="28" spans="1:6" x14ac:dyDescent="0.3">
      <c r="A28" s="15">
        <v>3</v>
      </c>
      <c r="B28" s="15" t="s">
        <v>29</v>
      </c>
      <c r="C28" s="15" t="s">
        <v>228</v>
      </c>
      <c r="D28" s="15">
        <v>41730</v>
      </c>
      <c r="E28" s="15">
        <v>40835</v>
      </c>
      <c r="F28" s="15">
        <v>82565</v>
      </c>
    </row>
    <row r="29" spans="1:6" x14ac:dyDescent="0.3">
      <c r="A29" s="15">
        <v>4</v>
      </c>
      <c r="B29" s="15" t="s">
        <v>30</v>
      </c>
      <c r="C29" s="15" t="s">
        <v>229</v>
      </c>
      <c r="D29" s="15">
        <v>3003</v>
      </c>
      <c r="E29" s="15">
        <v>2912</v>
      </c>
      <c r="F29" s="15">
        <v>5915</v>
      </c>
    </row>
    <row r="30" spans="1:6" x14ac:dyDescent="0.3">
      <c r="A30" s="15">
        <v>4</v>
      </c>
      <c r="B30" s="15" t="s">
        <v>31</v>
      </c>
      <c r="C30" s="15" t="s">
        <v>230</v>
      </c>
      <c r="D30" s="15">
        <v>4814</v>
      </c>
      <c r="E30" s="15">
        <v>4845</v>
      </c>
      <c r="F30" s="15">
        <v>9659</v>
      </c>
    </row>
    <row r="31" spans="1:6" x14ac:dyDescent="0.3">
      <c r="A31" s="15">
        <v>4</v>
      </c>
      <c r="B31" s="15" t="s">
        <v>32</v>
      </c>
      <c r="C31" s="15" t="s">
        <v>231</v>
      </c>
      <c r="D31" s="15">
        <v>2378</v>
      </c>
      <c r="E31" s="15">
        <v>2362</v>
      </c>
      <c r="F31" s="15">
        <v>4740</v>
      </c>
    </row>
    <row r="32" spans="1:6" x14ac:dyDescent="0.3">
      <c r="A32" s="15">
        <v>4</v>
      </c>
      <c r="B32" s="15" t="s">
        <v>33</v>
      </c>
      <c r="C32" s="15" t="s">
        <v>232</v>
      </c>
      <c r="D32" s="15">
        <v>3062</v>
      </c>
      <c r="E32" s="15">
        <v>3037</v>
      </c>
      <c r="F32" s="15">
        <v>6099</v>
      </c>
    </row>
    <row r="33" spans="1:6" x14ac:dyDescent="0.3">
      <c r="A33" s="15">
        <v>4</v>
      </c>
      <c r="B33" s="15" t="s">
        <v>34</v>
      </c>
      <c r="C33" s="15" t="s">
        <v>233</v>
      </c>
      <c r="D33" s="15">
        <v>3515</v>
      </c>
      <c r="E33" s="15">
        <v>3448</v>
      </c>
      <c r="F33" s="15">
        <v>6963</v>
      </c>
    </row>
    <row r="34" spans="1:6" x14ac:dyDescent="0.3">
      <c r="A34" s="15">
        <v>4</v>
      </c>
      <c r="B34" s="15" t="s">
        <v>35</v>
      </c>
      <c r="C34" s="15" t="s">
        <v>234</v>
      </c>
      <c r="D34" s="15">
        <v>2719</v>
      </c>
      <c r="E34" s="15">
        <v>2637</v>
      </c>
      <c r="F34" s="15">
        <v>5356</v>
      </c>
    </row>
    <row r="35" spans="1:6" x14ac:dyDescent="0.3">
      <c r="A35" s="15">
        <v>4</v>
      </c>
      <c r="B35" s="15" t="s">
        <v>36</v>
      </c>
      <c r="C35" s="15" t="s">
        <v>235</v>
      </c>
      <c r="D35" s="15">
        <v>3833</v>
      </c>
      <c r="E35" s="15">
        <v>3742</v>
      </c>
      <c r="F35" s="15">
        <v>7575</v>
      </c>
    </row>
    <row r="36" spans="1:6" x14ac:dyDescent="0.3">
      <c r="A36" s="15">
        <v>4</v>
      </c>
      <c r="B36" s="15" t="s">
        <v>37</v>
      </c>
      <c r="C36" s="15" t="s">
        <v>236</v>
      </c>
      <c r="D36" s="15">
        <v>1421</v>
      </c>
      <c r="E36" s="15">
        <v>1302</v>
      </c>
      <c r="F36" s="15">
        <v>2723</v>
      </c>
    </row>
    <row r="37" spans="1:6" x14ac:dyDescent="0.3">
      <c r="A37" s="15">
        <v>4</v>
      </c>
      <c r="B37" s="15" t="s">
        <v>38</v>
      </c>
      <c r="C37" s="15" t="s">
        <v>237</v>
      </c>
      <c r="D37" s="15">
        <v>2671</v>
      </c>
      <c r="E37" s="15">
        <v>2650</v>
      </c>
      <c r="F37" s="15">
        <v>5321</v>
      </c>
    </row>
    <row r="38" spans="1:6" x14ac:dyDescent="0.3">
      <c r="A38" s="15">
        <v>4</v>
      </c>
      <c r="B38" s="15" t="s">
        <v>39</v>
      </c>
      <c r="C38" s="15" t="s">
        <v>238</v>
      </c>
      <c r="D38" s="15">
        <v>1373</v>
      </c>
      <c r="E38" s="15">
        <v>1353</v>
      </c>
      <c r="F38" s="15">
        <v>2726</v>
      </c>
    </row>
    <row r="39" spans="1:6" x14ac:dyDescent="0.3">
      <c r="A39" s="15">
        <v>4</v>
      </c>
      <c r="B39" s="15" t="s">
        <v>40</v>
      </c>
      <c r="C39" s="15" t="s">
        <v>239</v>
      </c>
      <c r="D39" s="15">
        <v>1323</v>
      </c>
      <c r="E39" s="15">
        <v>1300</v>
      </c>
      <c r="F39" s="15">
        <v>2623</v>
      </c>
    </row>
    <row r="40" spans="1:6" x14ac:dyDescent="0.3">
      <c r="A40" s="15">
        <v>4</v>
      </c>
      <c r="B40" s="15" t="s">
        <v>41</v>
      </c>
      <c r="C40" s="15" t="s">
        <v>240</v>
      </c>
      <c r="D40" s="15">
        <v>3651</v>
      </c>
      <c r="E40" s="15">
        <v>3478</v>
      </c>
      <c r="F40" s="15">
        <v>7129</v>
      </c>
    </row>
    <row r="41" spans="1:6" x14ac:dyDescent="0.3">
      <c r="A41" s="15">
        <v>4</v>
      </c>
      <c r="B41" s="15" t="s">
        <v>42</v>
      </c>
      <c r="C41" s="15" t="s">
        <v>241</v>
      </c>
      <c r="D41" s="15">
        <v>1322</v>
      </c>
      <c r="E41" s="15">
        <v>1258</v>
      </c>
      <c r="F41" s="15">
        <v>2580</v>
      </c>
    </row>
    <row r="42" spans="1:6" x14ac:dyDescent="0.3">
      <c r="A42" s="15">
        <v>4</v>
      </c>
      <c r="B42" s="15" t="s">
        <v>43</v>
      </c>
      <c r="C42" s="15" t="s">
        <v>242</v>
      </c>
      <c r="D42" s="15">
        <v>3233</v>
      </c>
      <c r="E42" s="15">
        <v>3153</v>
      </c>
      <c r="F42" s="15">
        <v>6386</v>
      </c>
    </row>
    <row r="43" spans="1:6" x14ac:dyDescent="0.3">
      <c r="A43" s="15">
        <v>4</v>
      </c>
      <c r="B43" s="15" t="s">
        <v>44</v>
      </c>
      <c r="C43" s="15" t="s">
        <v>243</v>
      </c>
      <c r="D43" s="15">
        <v>859</v>
      </c>
      <c r="E43" s="15">
        <v>815</v>
      </c>
      <c r="F43" s="15">
        <v>1674</v>
      </c>
    </row>
    <row r="44" spans="1:6" x14ac:dyDescent="0.3">
      <c r="A44" s="15">
        <v>4</v>
      </c>
      <c r="B44" s="15" t="s">
        <v>45</v>
      </c>
      <c r="C44" s="15" t="s">
        <v>244</v>
      </c>
      <c r="D44" s="15">
        <v>2553</v>
      </c>
      <c r="E44" s="15">
        <v>2543</v>
      </c>
      <c r="F44" s="15">
        <v>5096</v>
      </c>
    </row>
    <row r="45" spans="1:6" x14ac:dyDescent="0.3">
      <c r="A45" s="15">
        <v>3</v>
      </c>
      <c r="B45" s="15" t="s">
        <v>46</v>
      </c>
      <c r="C45" s="15" t="s">
        <v>245</v>
      </c>
      <c r="D45" s="15">
        <v>43297</v>
      </c>
      <c r="E45" s="15">
        <v>42632</v>
      </c>
      <c r="F45" s="15">
        <v>85929</v>
      </c>
    </row>
    <row r="46" spans="1:6" x14ac:dyDescent="0.3">
      <c r="A46" s="15">
        <v>4</v>
      </c>
      <c r="B46" s="15" t="s">
        <v>47</v>
      </c>
      <c r="C46" s="15" t="s">
        <v>246</v>
      </c>
      <c r="D46" s="15">
        <v>2525</v>
      </c>
      <c r="E46" s="15">
        <v>2456</v>
      </c>
      <c r="F46" s="15">
        <v>4981</v>
      </c>
    </row>
    <row r="47" spans="1:6" x14ac:dyDescent="0.3">
      <c r="A47" s="15">
        <v>4</v>
      </c>
      <c r="B47" s="15" t="s">
        <v>48</v>
      </c>
      <c r="C47" s="15" t="s">
        <v>247</v>
      </c>
      <c r="D47" s="15">
        <v>6112</v>
      </c>
      <c r="E47" s="15">
        <v>5823</v>
      </c>
      <c r="F47" s="15">
        <v>11935</v>
      </c>
    </row>
    <row r="48" spans="1:6" x14ac:dyDescent="0.3">
      <c r="A48" s="15">
        <v>4</v>
      </c>
      <c r="B48" s="15" t="s">
        <v>49</v>
      </c>
      <c r="C48" s="15" t="s">
        <v>248</v>
      </c>
      <c r="D48" s="15">
        <v>3650</v>
      </c>
      <c r="E48" s="15">
        <v>3664</v>
      </c>
      <c r="F48" s="15">
        <v>7314</v>
      </c>
    </row>
    <row r="49" spans="1:6" x14ac:dyDescent="0.3">
      <c r="A49" s="15">
        <v>4</v>
      </c>
      <c r="B49" s="15" t="s">
        <v>50</v>
      </c>
      <c r="C49" s="15" t="s">
        <v>249</v>
      </c>
      <c r="D49" s="15">
        <v>2924</v>
      </c>
      <c r="E49" s="15">
        <v>2877</v>
      </c>
      <c r="F49" s="15">
        <v>5801</v>
      </c>
    </row>
    <row r="50" spans="1:6" x14ac:dyDescent="0.3">
      <c r="A50" s="15">
        <v>4</v>
      </c>
      <c r="B50" s="15" t="s">
        <v>51</v>
      </c>
      <c r="C50" s="15" t="s">
        <v>250</v>
      </c>
      <c r="D50" s="15">
        <v>4219</v>
      </c>
      <c r="E50" s="15">
        <v>4080</v>
      </c>
      <c r="F50" s="15">
        <v>8299</v>
      </c>
    </row>
    <row r="51" spans="1:6" x14ac:dyDescent="0.3">
      <c r="A51" s="15">
        <v>4</v>
      </c>
      <c r="B51" s="15" t="s">
        <v>52</v>
      </c>
      <c r="C51" s="15" t="s">
        <v>251</v>
      </c>
      <c r="D51" s="15">
        <v>3564</v>
      </c>
      <c r="E51" s="15">
        <v>3409</v>
      </c>
      <c r="F51" s="15">
        <v>6973</v>
      </c>
    </row>
    <row r="52" spans="1:6" x14ac:dyDescent="0.3">
      <c r="A52" s="15">
        <v>4</v>
      </c>
      <c r="B52" s="15" t="s">
        <v>53</v>
      </c>
      <c r="C52" s="15" t="s">
        <v>252</v>
      </c>
      <c r="D52" s="15">
        <v>2742</v>
      </c>
      <c r="E52" s="15">
        <v>2716</v>
      </c>
      <c r="F52" s="15">
        <v>5458</v>
      </c>
    </row>
    <row r="53" spans="1:6" x14ac:dyDescent="0.3">
      <c r="A53" s="15">
        <v>4</v>
      </c>
      <c r="B53" s="15" t="s">
        <v>54</v>
      </c>
      <c r="C53" s="15" t="s">
        <v>253</v>
      </c>
      <c r="D53" s="15">
        <v>2470</v>
      </c>
      <c r="E53" s="15">
        <v>2516</v>
      </c>
      <c r="F53" s="15">
        <v>4986</v>
      </c>
    </row>
    <row r="54" spans="1:6" x14ac:dyDescent="0.3">
      <c r="A54" s="15">
        <v>4</v>
      </c>
      <c r="B54" s="15" t="s">
        <v>55</v>
      </c>
      <c r="C54" s="15" t="s">
        <v>254</v>
      </c>
      <c r="D54" s="15">
        <v>2743</v>
      </c>
      <c r="E54" s="15">
        <v>2772</v>
      </c>
      <c r="F54" s="15">
        <v>5515</v>
      </c>
    </row>
    <row r="55" spans="1:6" x14ac:dyDescent="0.3">
      <c r="A55" s="15">
        <v>4</v>
      </c>
      <c r="B55" s="15" t="s">
        <v>56</v>
      </c>
      <c r="C55" s="15" t="s">
        <v>255</v>
      </c>
      <c r="D55" s="15">
        <v>4336</v>
      </c>
      <c r="E55" s="15">
        <v>4404</v>
      </c>
      <c r="F55" s="15">
        <v>8740</v>
      </c>
    </row>
    <row r="56" spans="1:6" x14ac:dyDescent="0.3">
      <c r="A56" s="15">
        <v>4</v>
      </c>
      <c r="B56" s="15" t="s">
        <v>57</v>
      </c>
      <c r="C56" s="15" t="s">
        <v>256</v>
      </c>
      <c r="D56" s="15">
        <v>2395</v>
      </c>
      <c r="E56" s="15">
        <v>2337</v>
      </c>
      <c r="F56" s="15">
        <v>4732</v>
      </c>
    </row>
    <row r="57" spans="1:6" x14ac:dyDescent="0.3">
      <c r="A57" s="15">
        <v>4</v>
      </c>
      <c r="B57" s="15" t="s">
        <v>58</v>
      </c>
      <c r="C57" s="15" t="s">
        <v>257</v>
      </c>
      <c r="D57" s="15">
        <v>4034</v>
      </c>
      <c r="E57" s="15">
        <v>4018</v>
      </c>
      <c r="F57" s="15">
        <v>8052</v>
      </c>
    </row>
    <row r="58" spans="1:6" x14ac:dyDescent="0.3">
      <c r="A58" s="15">
        <v>4</v>
      </c>
      <c r="B58" s="15" t="s">
        <v>59</v>
      </c>
      <c r="C58" s="15" t="s">
        <v>258</v>
      </c>
      <c r="D58" s="15">
        <v>1583</v>
      </c>
      <c r="E58" s="15">
        <v>1560</v>
      </c>
      <c r="F58" s="15">
        <v>3143</v>
      </c>
    </row>
    <row r="59" spans="1:6" x14ac:dyDescent="0.3">
      <c r="A59" s="15">
        <v>3</v>
      </c>
      <c r="B59" s="15" t="s">
        <v>60</v>
      </c>
      <c r="C59" s="15" t="s">
        <v>259</v>
      </c>
      <c r="D59" s="15">
        <v>33344</v>
      </c>
      <c r="E59" s="15">
        <v>32685</v>
      </c>
      <c r="F59" s="15">
        <v>66029</v>
      </c>
    </row>
    <row r="60" spans="1:6" x14ac:dyDescent="0.3">
      <c r="A60" s="15">
        <v>4</v>
      </c>
      <c r="B60" s="15" t="s">
        <v>61</v>
      </c>
      <c r="C60" s="15" t="s">
        <v>260</v>
      </c>
      <c r="D60" s="15">
        <v>2397</v>
      </c>
      <c r="E60" s="15">
        <v>2338</v>
      </c>
      <c r="F60" s="15">
        <v>4735</v>
      </c>
    </row>
    <row r="61" spans="1:6" x14ac:dyDescent="0.3">
      <c r="A61" s="15">
        <v>4</v>
      </c>
      <c r="B61" s="15" t="s">
        <v>62</v>
      </c>
      <c r="C61" s="15" t="s">
        <v>261</v>
      </c>
      <c r="D61" s="15">
        <v>2186</v>
      </c>
      <c r="E61" s="15">
        <v>2094</v>
      </c>
      <c r="F61" s="15">
        <v>4280</v>
      </c>
    </row>
    <row r="62" spans="1:6" x14ac:dyDescent="0.3">
      <c r="A62" s="15">
        <v>4</v>
      </c>
      <c r="B62" s="15" t="s">
        <v>63</v>
      </c>
      <c r="C62" s="15" t="s">
        <v>262</v>
      </c>
      <c r="D62" s="15">
        <v>1924</v>
      </c>
      <c r="E62" s="15">
        <v>1778</v>
      </c>
      <c r="F62" s="15">
        <v>3702</v>
      </c>
    </row>
    <row r="63" spans="1:6" x14ac:dyDescent="0.3">
      <c r="A63" s="15">
        <v>4</v>
      </c>
      <c r="B63" s="15" t="s">
        <v>64</v>
      </c>
      <c r="C63" s="15" t="s">
        <v>263</v>
      </c>
      <c r="D63" s="15">
        <v>1715</v>
      </c>
      <c r="E63" s="15">
        <v>1604</v>
      </c>
      <c r="F63" s="15">
        <v>3319</v>
      </c>
    </row>
    <row r="64" spans="1:6" x14ac:dyDescent="0.3">
      <c r="A64" s="15">
        <v>4</v>
      </c>
      <c r="B64" s="15" t="s">
        <v>65</v>
      </c>
      <c r="C64" s="15" t="s">
        <v>264</v>
      </c>
      <c r="D64" s="15">
        <v>975</v>
      </c>
      <c r="E64" s="15">
        <v>935</v>
      </c>
      <c r="F64" s="15">
        <v>1910</v>
      </c>
    </row>
    <row r="65" spans="1:6" x14ac:dyDescent="0.3">
      <c r="A65" s="15">
        <v>4</v>
      </c>
      <c r="B65" s="15" t="s">
        <v>66</v>
      </c>
      <c r="C65" s="15" t="s">
        <v>265</v>
      </c>
      <c r="D65" s="15">
        <v>1537</v>
      </c>
      <c r="E65" s="15">
        <v>1535</v>
      </c>
      <c r="F65" s="15">
        <v>3072</v>
      </c>
    </row>
    <row r="66" spans="1:6" x14ac:dyDescent="0.3">
      <c r="A66" s="15">
        <v>4</v>
      </c>
      <c r="B66" s="15" t="s">
        <v>67</v>
      </c>
      <c r="C66" s="15" t="s">
        <v>266</v>
      </c>
      <c r="D66" s="15">
        <v>525</v>
      </c>
      <c r="E66" s="15">
        <v>498</v>
      </c>
      <c r="F66" s="15">
        <v>1023</v>
      </c>
    </row>
    <row r="67" spans="1:6" x14ac:dyDescent="0.3">
      <c r="A67" s="15">
        <v>4</v>
      </c>
      <c r="B67" s="15" t="s">
        <v>68</v>
      </c>
      <c r="C67" s="15" t="s">
        <v>267</v>
      </c>
      <c r="D67" s="15">
        <v>618</v>
      </c>
      <c r="E67" s="15">
        <v>633</v>
      </c>
      <c r="F67" s="15">
        <v>1251</v>
      </c>
    </row>
    <row r="68" spans="1:6" x14ac:dyDescent="0.3">
      <c r="A68" s="15">
        <v>4</v>
      </c>
      <c r="B68" s="15" t="s">
        <v>69</v>
      </c>
      <c r="C68" s="15" t="s">
        <v>268</v>
      </c>
      <c r="D68" s="15">
        <v>1566</v>
      </c>
      <c r="E68" s="15">
        <v>1519</v>
      </c>
      <c r="F68" s="15">
        <v>3085</v>
      </c>
    </row>
    <row r="69" spans="1:6" x14ac:dyDescent="0.3">
      <c r="A69" s="15">
        <v>4</v>
      </c>
      <c r="B69" s="15" t="s">
        <v>70</v>
      </c>
      <c r="C69" s="15" t="s">
        <v>269</v>
      </c>
      <c r="D69" s="15">
        <v>666</v>
      </c>
      <c r="E69" s="15">
        <v>633</v>
      </c>
      <c r="F69" s="15">
        <v>1299</v>
      </c>
    </row>
    <row r="70" spans="1:6" x14ac:dyDescent="0.3">
      <c r="A70" s="15">
        <v>4</v>
      </c>
      <c r="B70" s="15" t="s">
        <v>71</v>
      </c>
      <c r="C70" s="15" t="s">
        <v>270</v>
      </c>
      <c r="D70" s="15">
        <v>2644</v>
      </c>
      <c r="E70" s="15">
        <v>2650</v>
      </c>
      <c r="F70" s="15">
        <v>5294</v>
      </c>
    </row>
    <row r="71" spans="1:6" x14ac:dyDescent="0.3">
      <c r="A71" s="15">
        <v>4</v>
      </c>
      <c r="B71" s="15" t="s">
        <v>72</v>
      </c>
      <c r="C71" s="15" t="s">
        <v>271</v>
      </c>
      <c r="D71" s="15">
        <v>2649</v>
      </c>
      <c r="E71" s="15">
        <v>2646</v>
      </c>
      <c r="F71" s="15">
        <v>5295</v>
      </c>
    </row>
    <row r="72" spans="1:6" x14ac:dyDescent="0.3">
      <c r="A72" s="15">
        <v>4</v>
      </c>
      <c r="B72" s="15" t="s">
        <v>73</v>
      </c>
      <c r="C72" s="15" t="s">
        <v>272</v>
      </c>
      <c r="D72" s="15">
        <v>1274</v>
      </c>
      <c r="E72" s="15">
        <v>1244</v>
      </c>
      <c r="F72" s="15">
        <v>2518</v>
      </c>
    </row>
    <row r="73" spans="1:6" x14ac:dyDescent="0.3">
      <c r="A73" s="15">
        <v>4</v>
      </c>
      <c r="B73" s="15" t="s">
        <v>74</v>
      </c>
      <c r="C73" s="15" t="s">
        <v>259</v>
      </c>
      <c r="D73" s="15">
        <v>2151</v>
      </c>
      <c r="E73" s="15">
        <v>2138</v>
      </c>
      <c r="F73" s="15">
        <v>4289</v>
      </c>
    </row>
    <row r="74" spans="1:6" x14ac:dyDescent="0.3">
      <c r="A74" s="15">
        <v>4</v>
      </c>
      <c r="B74" s="15" t="s">
        <v>75</v>
      </c>
      <c r="C74" s="15" t="s">
        <v>273</v>
      </c>
      <c r="D74" s="15">
        <v>856</v>
      </c>
      <c r="E74" s="15">
        <v>872</v>
      </c>
      <c r="F74" s="15">
        <v>1728</v>
      </c>
    </row>
    <row r="75" spans="1:6" x14ac:dyDescent="0.3">
      <c r="A75" s="15">
        <v>4</v>
      </c>
      <c r="B75" s="15" t="s">
        <v>76</v>
      </c>
      <c r="C75" s="15" t="s">
        <v>274</v>
      </c>
      <c r="D75" s="15">
        <v>3014</v>
      </c>
      <c r="E75" s="15">
        <v>3052</v>
      </c>
      <c r="F75" s="15">
        <v>6066</v>
      </c>
    </row>
    <row r="76" spans="1:6" x14ac:dyDescent="0.3">
      <c r="A76" s="15">
        <v>4</v>
      </c>
      <c r="B76" s="15" t="s">
        <v>77</v>
      </c>
      <c r="C76" s="15" t="s">
        <v>275</v>
      </c>
      <c r="D76" s="15">
        <v>3242</v>
      </c>
      <c r="E76" s="15">
        <v>3150</v>
      </c>
      <c r="F76" s="15">
        <v>6392</v>
      </c>
    </row>
    <row r="77" spans="1:6" x14ac:dyDescent="0.3">
      <c r="A77" s="15">
        <v>4</v>
      </c>
      <c r="B77" s="15" t="s">
        <v>78</v>
      </c>
      <c r="C77" s="15" t="s">
        <v>276</v>
      </c>
      <c r="D77" s="15">
        <v>3405</v>
      </c>
      <c r="E77" s="15">
        <v>3366</v>
      </c>
      <c r="F77" s="15">
        <v>6771</v>
      </c>
    </row>
    <row r="78" spans="1:6" x14ac:dyDescent="0.3">
      <c r="A78" s="15">
        <v>3</v>
      </c>
      <c r="B78" s="15" t="s">
        <v>79</v>
      </c>
      <c r="C78" s="15" t="s">
        <v>277</v>
      </c>
      <c r="D78" s="15">
        <v>35673</v>
      </c>
      <c r="E78" s="15">
        <v>35373</v>
      </c>
      <c r="F78" s="15">
        <v>71046</v>
      </c>
    </row>
    <row r="79" spans="1:6" x14ac:dyDescent="0.3">
      <c r="A79" s="15">
        <v>4</v>
      </c>
      <c r="B79" s="15" t="s">
        <v>80</v>
      </c>
      <c r="C79" s="15" t="s">
        <v>278</v>
      </c>
      <c r="D79" s="15">
        <v>2886</v>
      </c>
      <c r="E79" s="15">
        <v>2779</v>
      </c>
      <c r="F79" s="15">
        <v>5665</v>
      </c>
    </row>
    <row r="80" spans="1:6" x14ac:dyDescent="0.3">
      <c r="A80" s="15">
        <v>4</v>
      </c>
      <c r="B80" s="15" t="s">
        <v>81</v>
      </c>
      <c r="C80" s="15" t="s">
        <v>279</v>
      </c>
      <c r="D80" s="15">
        <v>2110</v>
      </c>
      <c r="E80" s="15">
        <v>2156</v>
      </c>
      <c r="F80" s="15">
        <v>4266</v>
      </c>
    </row>
    <row r="81" spans="1:6" x14ac:dyDescent="0.3">
      <c r="A81" s="15">
        <v>4</v>
      </c>
      <c r="B81" s="15" t="s">
        <v>82</v>
      </c>
      <c r="C81" s="15" t="s">
        <v>280</v>
      </c>
      <c r="D81" s="15">
        <v>1540</v>
      </c>
      <c r="E81" s="15">
        <v>1494</v>
      </c>
      <c r="F81" s="15">
        <v>3034</v>
      </c>
    </row>
    <row r="82" spans="1:6" x14ac:dyDescent="0.3">
      <c r="A82" s="15">
        <v>4</v>
      </c>
      <c r="B82" s="15" t="s">
        <v>83</v>
      </c>
      <c r="C82" s="15" t="s">
        <v>281</v>
      </c>
      <c r="D82" s="15">
        <v>2021</v>
      </c>
      <c r="E82" s="15">
        <v>2019</v>
      </c>
      <c r="F82" s="15">
        <v>4040</v>
      </c>
    </row>
    <row r="83" spans="1:6" x14ac:dyDescent="0.3">
      <c r="A83" s="15">
        <v>4</v>
      </c>
      <c r="B83" s="15" t="s">
        <v>84</v>
      </c>
      <c r="C83" s="15" t="s">
        <v>282</v>
      </c>
      <c r="D83" s="15">
        <v>3223</v>
      </c>
      <c r="E83" s="15">
        <v>3242</v>
      </c>
      <c r="F83" s="15">
        <v>6465</v>
      </c>
    </row>
    <row r="84" spans="1:6" x14ac:dyDescent="0.3">
      <c r="A84" s="15">
        <v>4</v>
      </c>
      <c r="B84" s="15" t="s">
        <v>85</v>
      </c>
      <c r="C84" s="15" t="s">
        <v>283</v>
      </c>
      <c r="D84" s="15">
        <v>4534</v>
      </c>
      <c r="E84" s="15">
        <v>4588</v>
      </c>
      <c r="F84" s="15">
        <v>9122</v>
      </c>
    </row>
    <row r="85" spans="1:6" x14ac:dyDescent="0.3">
      <c r="A85" s="15">
        <v>4</v>
      </c>
      <c r="B85" s="15" t="s">
        <v>86</v>
      </c>
      <c r="C85" s="15" t="s">
        <v>284</v>
      </c>
      <c r="D85" s="15">
        <v>2644</v>
      </c>
      <c r="E85" s="15">
        <v>2631</v>
      </c>
      <c r="F85" s="15">
        <v>5275</v>
      </c>
    </row>
    <row r="86" spans="1:6" x14ac:dyDescent="0.3">
      <c r="A86" s="15">
        <v>4</v>
      </c>
      <c r="B86" s="15" t="s">
        <v>87</v>
      </c>
      <c r="C86" s="15" t="s">
        <v>285</v>
      </c>
      <c r="D86" s="15">
        <v>3303</v>
      </c>
      <c r="E86" s="15">
        <v>3234</v>
      </c>
      <c r="F86" s="15">
        <v>6537</v>
      </c>
    </row>
    <row r="87" spans="1:6" x14ac:dyDescent="0.3">
      <c r="A87" s="15">
        <v>4</v>
      </c>
      <c r="B87" s="15" t="s">
        <v>88</v>
      </c>
      <c r="C87" s="15" t="s">
        <v>286</v>
      </c>
      <c r="D87" s="15">
        <v>5587</v>
      </c>
      <c r="E87" s="15">
        <v>5772</v>
      </c>
      <c r="F87" s="15">
        <v>11359</v>
      </c>
    </row>
    <row r="88" spans="1:6" x14ac:dyDescent="0.3">
      <c r="A88" s="15">
        <v>4</v>
      </c>
      <c r="B88" s="15" t="s">
        <v>89</v>
      </c>
      <c r="C88" s="15" t="s">
        <v>287</v>
      </c>
      <c r="D88" s="15">
        <v>2690</v>
      </c>
      <c r="E88" s="15">
        <v>2572</v>
      </c>
      <c r="F88" s="15">
        <v>5262</v>
      </c>
    </row>
    <row r="89" spans="1:6" x14ac:dyDescent="0.3">
      <c r="A89" s="15">
        <v>4</v>
      </c>
      <c r="B89" s="15" t="s">
        <v>90</v>
      </c>
      <c r="C89" s="15" t="s">
        <v>288</v>
      </c>
      <c r="D89" s="15">
        <v>1690</v>
      </c>
      <c r="E89" s="15">
        <v>1556</v>
      </c>
      <c r="F89" s="15">
        <v>3246</v>
      </c>
    </row>
    <row r="90" spans="1:6" x14ac:dyDescent="0.3">
      <c r="A90" s="15">
        <v>4</v>
      </c>
      <c r="B90" s="15" t="s">
        <v>91</v>
      </c>
      <c r="C90" s="15" t="s">
        <v>289</v>
      </c>
      <c r="D90" s="15">
        <v>1871</v>
      </c>
      <c r="E90" s="15">
        <v>1790</v>
      </c>
      <c r="F90" s="15">
        <v>3661</v>
      </c>
    </row>
    <row r="91" spans="1:6" x14ac:dyDescent="0.3">
      <c r="A91" s="15">
        <v>4</v>
      </c>
      <c r="B91" s="15" t="s">
        <v>92</v>
      </c>
      <c r="C91" s="15" t="s">
        <v>290</v>
      </c>
      <c r="D91" s="15">
        <v>1574</v>
      </c>
      <c r="E91" s="15">
        <v>1540</v>
      </c>
      <c r="F91" s="15">
        <v>3114</v>
      </c>
    </row>
    <row r="92" spans="1:6" x14ac:dyDescent="0.3">
      <c r="A92" s="15">
        <v>3</v>
      </c>
      <c r="B92" s="15" t="s">
        <v>93</v>
      </c>
      <c r="C92" s="15" t="s">
        <v>291</v>
      </c>
      <c r="D92" s="15">
        <v>16560</v>
      </c>
      <c r="E92" s="15">
        <v>16262</v>
      </c>
      <c r="F92" s="15">
        <v>32822</v>
      </c>
    </row>
    <row r="93" spans="1:6" x14ac:dyDescent="0.3">
      <c r="A93" s="15">
        <v>4</v>
      </c>
      <c r="B93" s="15" t="s">
        <v>94</v>
      </c>
      <c r="C93" s="15" t="s">
        <v>292</v>
      </c>
      <c r="D93" s="15">
        <v>1031</v>
      </c>
      <c r="E93" s="15">
        <v>992</v>
      </c>
      <c r="F93" s="15">
        <v>2023</v>
      </c>
    </row>
    <row r="94" spans="1:6" x14ac:dyDescent="0.3">
      <c r="A94" s="15">
        <v>4</v>
      </c>
      <c r="B94" s="15" t="s">
        <v>95</v>
      </c>
      <c r="C94" s="15" t="s">
        <v>293</v>
      </c>
      <c r="D94" s="15">
        <v>953</v>
      </c>
      <c r="E94" s="15">
        <v>948</v>
      </c>
      <c r="F94" s="15">
        <v>1901</v>
      </c>
    </row>
    <row r="95" spans="1:6" x14ac:dyDescent="0.3">
      <c r="A95" s="15">
        <v>4</v>
      </c>
      <c r="B95" s="15" t="s">
        <v>96</v>
      </c>
      <c r="C95" s="15" t="s">
        <v>294</v>
      </c>
      <c r="D95" s="15">
        <v>1452</v>
      </c>
      <c r="E95" s="15">
        <v>1338</v>
      </c>
      <c r="F95" s="15">
        <v>2790</v>
      </c>
    </row>
    <row r="96" spans="1:6" x14ac:dyDescent="0.3">
      <c r="A96" s="15">
        <v>4</v>
      </c>
      <c r="B96" s="15" t="s">
        <v>97</v>
      </c>
      <c r="C96" s="15" t="s">
        <v>295</v>
      </c>
      <c r="D96" s="15">
        <v>1871</v>
      </c>
      <c r="E96" s="15">
        <v>1764</v>
      </c>
      <c r="F96" s="15">
        <v>3635</v>
      </c>
    </row>
    <row r="97" spans="1:6" x14ac:dyDescent="0.3">
      <c r="A97" s="15">
        <v>4</v>
      </c>
      <c r="B97" s="15" t="s">
        <v>98</v>
      </c>
      <c r="C97" s="15" t="s">
        <v>296</v>
      </c>
      <c r="D97" s="15">
        <v>945</v>
      </c>
      <c r="E97" s="15">
        <v>957</v>
      </c>
      <c r="F97" s="15">
        <v>1902</v>
      </c>
    </row>
    <row r="98" spans="1:6" x14ac:dyDescent="0.3">
      <c r="A98" s="15">
        <v>4</v>
      </c>
      <c r="B98" s="15" t="s">
        <v>99</v>
      </c>
      <c r="C98" s="15" t="s">
        <v>297</v>
      </c>
      <c r="D98" s="15">
        <v>666</v>
      </c>
      <c r="E98" s="15">
        <v>609</v>
      </c>
      <c r="F98" s="15">
        <v>1275</v>
      </c>
    </row>
    <row r="99" spans="1:6" x14ac:dyDescent="0.3">
      <c r="A99" s="15">
        <v>4</v>
      </c>
      <c r="B99" s="15" t="s">
        <v>100</v>
      </c>
      <c r="C99" s="15" t="s">
        <v>298</v>
      </c>
      <c r="D99" s="15">
        <v>1564</v>
      </c>
      <c r="E99" s="15">
        <v>1560</v>
      </c>
      <c r="F99" s="15">
        <v>3124</v>
      </c>
    </row>
    <row r="100" spans="1:6" x14ac:dyDescent="0.3">
      <c r="A100" s="15">
        <v>4</v>
      </c>
      <c r="B100" s="15" t="s">
        <v>101</v>
      </c>
      <c r="C100" s="15" t="s">
        <v>273</v>
      </c>
      <c r="D100" s="15">
        <v>1052</v>
      </c>
      <c r="E100" s="15">
        <v>1001</v>
      </c>
      <c r="F100" s="15">
        <v>2053</v>
      </c>
    </row>
    <row r="101" spans="1:6" x14ac:dyDescent="0.3">
      <c r="A101" s="15">
        <v>4</v>
      </c>
      <c r="B101" s="15" t="s">
        <v>102</v>
      </c>
      <c r="C101" s="15" t="s">
        <v>299</v>
      </c>
      <c r="D101" s="15">
        <v>2321</v>
      </c>
      <c r="E101" s="15">
        <v>2319</v>
      </c>
      <c r="F101" s="15">
        <v>4640</v>
      </c>
    </row>
    <row r="102" spans="1:6" x14ac:dyDescent="0.3">
      <c r="A102" s="15">
        <v>4</v>
      </c>
      <c r="B102" s="15" t="s">
        <v>103</v>
      </c>
      <c r="C102" s="15" t="s">
        <v>300</v>
      </c>
      <c r="D102" s="15">
        <v>1641</v>
      </c>
      <c r="E102" s="15">
        <v>1600</v>
      </c>
      <c r="F102" s="15">
        <v>3241</v>
      </c>
    </row>
    <row r="103" spans="1:6" x14ac:dyDescent="0.3">
      <c r="A103" s="15">
        <v>4</v>
      </c>
      <c r="B103" s="15" t="s">
        <v>104</v>
      </c>
      <c r="C103" s="15" t="s">
        <v>301</v>
      </c>
      <c r="D103" s="15">
        <v>508</v>
      </c>
      <c r="E103" s="15">
        <v>538</v>
      </c>
      <c r="F103" s="15">
        <v>1046</v>
      </c>
    </row>
    <row r="104" spans="1:6" x14ac:dyDescent="0.3">
      <c r="A104" s="15">
        <v>4</v>
      </c>
      <c r="B104" s="15" t="s">
        <v>105</v>
      </c>
      <c r="C104" s="15" t="s">
        <v>302</v>
      </c>
      <c r="D104" s="15">
        <v>400</v>
      </c>
      <c r="E104" s="15">
        <v>425</v>
      </c>
      <c r="F104" s="15">
        <v>825</v>
      </c>
    </row>
    <row r="105" spans="1:6" x14ac:dyDescent="0.3">
      <c r="A105" s="15">
        <v>4</v>
      </c>
      <c r="B105" s="15" t="s">
        <v>106</v>
      </c>
      <c r="C105" s="15" t="s">
        <v>303</v>
      </c>
      <c r="D105" s="15">
        <v>250</v>
      </c>
      <c r="E105" s="15">
        <v>247</v>
      </c>
      <c r="F105" s="15">
        <v>497</v>
      </c>
    </row>
    <row r="106" spans="1:6" x14ac:dyDescent="0.3">
      <c r="A106" s="15">
        <v>4</v>
      </c>
      <c r="B106" s="15" t="s">
        <v>107</v>
      </c>
      <c r="C106" s="15" t="s">
        <v>291</v>
      </c>
      <c r="D106" s="15">
        <v>684</v>
      </c>
      <c r="E106" s="15">
        <v>696</v>
      </c>
      <c r="F106" s="15">
        <v>1380</v>
      </c>
    </row>
    <row r="107" spans="1:6" x14ac:dyDescent="0.3">
      <c r="A107" s="15">
        <v>4</v>
      </c>
      <c r="B107" s="15" t="s">
        <v>108</v>
      </c>
      <c r="C107" s="15" t="s">
        <v>304</v>
      </c>
      <c r="D107" s="15">
        <v>1222</v>
      </c>
      <c r="E107" s="15">
        <v>1268</v>
      </c>
      <c r="F107" s="15">
        <v>2490</v>
      </c>
    </row>
    <row r="108" spans="1:6" x14ac:dyDescent="0.3">
      <c r="A108" s="15">
        <v>3</v>
      </c>
      <c r="B108" s="15" t="s">
        <v>109</v>
      </c>
      <c r="C108" s="15" t="s">
        <v>305</v>
      </c>
      <c r="D108" s="15">
        <v>23940</v>
      </c>
      <c r="E108" s="15">
        <v>23071</v>
      </c>
      <c r="F108" s="15">
        <v>47011</v>
      </c>
    </row>
    <row r="109" spans="1:6" x14ac:dyDescent="0.3">
      <c r="A109" s="15">
        <v>4</v>
      </c>
      <c r="B109" s="15" t="s">
        <v>110</v>
      </c>
      <c r="C109" s="15" t="s">
        <v>306</v>
      </c>
      <c r="D109" s="15">
        <v>1475</v>
      </c>
      <c r="E109" s="15">
        <v>1429</v>
      </c>
      <c r="F109" s="15">
        <v>2904</v>
      </c>
    </row>
    <row r="110" spans="1:6" x14ac:dyDescent="0.3">
      <c r="A110" s="15">
        <v>4</v>
      </c>
      <c r="B110" s="15" t="s">
        <v>111</v>
      </c>
      <c r="C110" s="15" t="s">
        <v>307</v>
      </c>
      <c r="D110" s="15">
        <v>1376</v>
      </c>
      <c r="E110" s="15">
        <v>1363</v>
      </c>
      <c r="F110" s="15">
        <v>2739</v>
      </c>
    </row>
    <row r="111" spans="1:6" x14ac:dyDescent="0.3">
      <c r="A111" s="15">
        <v>4</v>
      </c>
      <c r="B111" s="15" t="s">
        <v>112</v>
      </c>
      <c r="C111" s="15" t="s">
        <v>308</v>
      </c>
      <c r="D111" s="15">
        <v>904</v>
      </c>
      <c r="E111" s="15">
        <v>894</v>
      </c>
      <c r="F111" s="15">
        <v>1798</v>
      </c>
    </row>
    <row r="112" spans="1:6" x14ac:dyDescent="0.3">
      <c r="A112" s="15">
        <v>4</v>
      </c>
      <c r="B112" s="15" t="s">
        <v>113</v>
      </c>
      <c r="C112" s="15" t="s">
        <v>309</v>
      </c>
      <c r="D112" s="15">
        <v>565</v>
      </c>
      <c r="E112" s="15">
        <v>551</v>
      </c>
      <c r="F112" s="15">
        <v>1116</v>
      </c>
    </row>
    <row r="113" spans="1:6" x14ac:dyDescent="0.3">
      <c r="A113" s="15">
        <v>4</v>
      </c>
      <c r="B113" s="15" t="s">
        <v>114</v>
      </c>
      <c r="C113" s="15" t="s">
        <v>310</v>
      </c>
      <c r="D113" s="15">
        <v>825</v>
      </c>
      <c r="E113" s="15">
        <v>829</v>
      </c>
      <c r="F113" s="15">
        <v>1654</v>
      </c>
    </row>
    <row r="114" spans="1:6" x14ac:dyDescent="0.3">
      <c r="A114" s="15">
        <v>4</v>
      </c>
      <c r="B114" s="15" t="s">
        <v>115</v>
      </c>
      <c r="C114" s="15" t="s">
        <v>305</v>
      </c>
      <c r="D114" s="15">
        <v>1252</v>
      </c>
      <c r="E114" s="15">
        <v>1189</v>
      </c>
      <c r="F114" s="15">
        <v>2441</v>
      </c>
    </row>
    <row r="115" spans="1:6" x14ac:dyDescent="0.3">
      <c r="A115" s="15">
        <v>4</v>
      </c>
      <c r="B115" s="15" t="s">
        <v>116</v>
      </c>
      <c r="C115" s="15" t="s">
        <v>264</v>
      </c>
      <c r="D115" s="15">
        <v>976</v>
      </c>
      <c r="E115" s="15">
        <v>994</v>
      </c>
      <c r="F115" s="15">
        <v>1970</v>
      </c>
    </row>
    <row r="116" spans="1:6" x14ac:dyDescent="0.3">
      <c r="A116" s="15">
        <v>4</v>
      </c>
      <c r="B116" s="15" t="s">
        <v>117</v>
      </c>
      <c r="C116" s="15" t="s">
        <v>311</v>
      </c>
      <c r="D116" s="15">
        <v>896</v>
      </c>
      <c r="E116" s="15">
        <v>861</v>
      </c>
      <c r="F116" s="15">
        <v>1757</v>
      </c>
    </row>
    <row r="117" spans="1:6" x14ac:dyDescent="0.3">
      <c r="A117" s="15">
        <v>4</v>
      </c>
      <c r="B117" s="15" t="s">
        <v>118</v>
      </c>
      <c r="C117" s="15" t="s">
        <v>312</v>
      </c>
      <c r="D117" s="15">
        <v>1308</v>
      </c>
      <c r="E117" s="15">
        <v>1145</v>
      </c>
      <c r="F117" s="15">
        <v>2453</v>
      </c>
    </row>
    <row r="118" spans="1:6" x14ac:dyDescent="0.3">
      <c r="A118" s="15">
        <v>4</v>
      </c>
      <c r="B118" s="15" t="s">
        <v>119</v>
      </c>
      <c r="C118" s="15" t="s">
        <v>313</v>
      </c>
      <c r="D118" s="15">
        <v>1673</v>
      </c>
      <c r="E118" s="15">
        <v>1628</v>
      </c>
      <c r="F118" s="15">
        <v>3301</v>
      </c>
    </row>
    <row r="119" spans="1:6" x14ac:dyDescent="0.3">
      <c r="A119" s="15">
        <v>4</v>
      </c>
      <c r="B119" s="15" t="s">
        <v>120</v>
      </c>
      <c r="C119" s="15" t="s">
        <v>314</v>
      </c>
      <c r="D119" s="15">
        <v>1879</v>
      </c>
      <c r="E119" s="15">
        <v>1766</v>
      </c>
      <c r="F119" s="15">
        <v>3645</v>
      </c>
    </row>
    <row r="120" spans="1:6" x14ac:dyDescent="0.3">
      <c r="A120" s="15">
        <v>4</v>
      </c>
      <c r="B120" s="15" t="s">
        <v>121</v>
      </c>
      <c r="C120" s="15" t="s">
        <v>315</v>
      </c>
      <c r="D120" s="15">
        <v>1047</v>
      </c>
      <c r="E120" s="15">
        <v>990</v>
      </c>
      <c r="F120" s="15">
        <v>2037</v>
      </c>
    </row>
    <row r="121" spans="1:6" x14ac:dyDescent="0.3">
      <c r="A121" s="15">
        <v>4</v>
      </c>
      <c r="B121" s="15" t="s">
        <v>122</v>
      </c>
      <c r="C121" s="15" t="s">
        <v>316</v>
      </c>
      <c r="D121" s="15">
        <v>1585</v>
      </c>
      <c r="E121" s="15">
        <v>1591</v>
      </c>
      <c r="F121" s="15">
        <v>3176</v>
      </c>
    </row>
    <row r="122" spans="1:6" x14ac:dyDescent="0.3">
      <c r="A122" s="15">
        <v>4</v>
      </c>
      <c r="B122" s="15" t="s">
        <v>123</v>
      </c>
      <c r="C122" s="15" t="s">
        <v>317</v>
      </c>
      <c r="D122" s="15">
        <v>1438</v>
      </c>
      <c r="E122" s="15">
        <v>1425</v>
      </c>
      <c r="F122" s="15">
        <v>2863</v>
      </c>
    </row>
    <row r="123" spans="1:6" x14ac:dyDescent="0.3">
      <c r="A123" s="15">
        <v>4</v>
      </c>
      <c r="B123" s="15" t="s">
        <v>124</v>
      </c>
      <c r="C123" s="15" t="s">
        <v>318</v>
      </c>
      <c r="D123" s="15">
        <v>1125</v>
      </c>
      <c r="E123" s="15">
        <v>1019</v>
      </c>
      <c r="F123" s="15">
        <v>2144</v>
      </c>
    </row>
    <row r="124" spans="1:6" x14ac:dyDescent="0.3">
      <c r="A124" s="15">
        <v>4</v>
      </c>
      <c r="B124" s="15" t="s">
        <v>125</v>
      </c>
      <c r="C124" s="15" t="s">
        <v>319</v>
      </c>
      <c r="D124" s="15">
        <v>1863</v>
      </c>
      <c r="E124" s="15">
        <v>1778</v>
      </c>
      <c r="F124" s="15">
        <v>3641</v>
      </c>
    </row>
    <row r="125" spans="1:6" x14ac:dyDescent="0.3">
      <c r="A125" s="15">
        <v>4</v>
      </c>
      <c r="B125" s="15" t="s">
        <v>126</v>
      </c>
      <c r="C125" s="15" t="s">
        <v>248</v>
      </c>
      <c r="D125" s="15">
        <v>478</v>
      </c>
      <c r="E125" s="15">
        <v>471</v>
      </c>
      <c r="F125" s="15">
        <v>949</v>
      </c>
    </row>
    <row r="126" spans="1:6" x14ac:dyDescent="0.3">
      <c r="A126" s="15">
        <v>4</v>
      </c>
      <c r="B126" s="15" t="s">
        <v>127</v>
      </c>
      <c r="C126" s="15" t="s">
        <v>320</v>
      </c>
      <c r="D126" s="15">
        <v>1313</v>
      </c>
      <c r="E126" s="15">
        <v>1264</v>
      </c>
      <c r="F126" s="15">
        <v>2577</v>
      </c>
    </row>
    <row r="127" spans="1:6" x14ac:dyDescent="0.3">
      <c r="A127" s="15">
        <v>4</v>
      </c>
      <c r="B127" s="15" t="s">
        <v>128</v>
      </c>
      <c r="C127" s="15" t="s">
        <v>321</v>
      </c>
      <c r="D127" s="15">
        <v>1179</v>
      </c>
      <c r="E127" s="15">
        <v>1149</v>
      </c>
      <c r="F127" s="15">
        <v>2328</v>
      </c>
    </row>
    <row r="128" spans="1:6" x14ac:dyDescent="0.3">
      <c r="A128" s="15">
        <v>4</v>
      </c>
      <c r="B128" s="15" t="s">
        <v>129</v>
      </c>
      <c r="C128" s="15" t="s">
        <v>322</v>
      </c>
      <c r="D128" s="15">
        <v>783</v>
      </c>
      <c r="E128" s="15">
        <v>735</v>
      </c>
      <c r="F128" s="15">
        <v>1518</v>
      </c>
    </row>
    <row r="129" spans="1:6" x14ac:dyDescent="0.3">
      <c r="A129" s="15">
        <v>3</v>
      </c>
      <c r="B129" s="15" t="s">
        <v>130</v>
      </c>
      <c r="C129" s="15" t="s">
        <v>323</v>
      </c>
      <c r="D129" s="15">
        <v>24303</v>
      </c>
      <c r="E129" s="15">
        <v>23176</v>
      </c>
      <c r="F129" s="15">
        <v>47479</v>
      </c>
    </row>
    <row r="130" spans="1:6" x14ac:dyDescent="0.3">
      <c r="A130" s="15">
        <v>4</v>
      </c>
      <c r="B130" s="15" t="s">
        <v>131</v>
      </c>
      <c r="C130" s="15" t="s">
        <v>324</v>
      </c>
      <c r="D130" s="15">
        <v>1372</v>
      </c>
      <c r="E130" s="15">
        <v>1387</v>
      </c>
      <c r="F130" s="15">
        <v>2759</v>
      </c>
    </row>
    <row r="131" spans="1:6" x14ac:dyDescent="0.3">
      <c r="A131" s="15">
        <v>4</v>
      </c>
      <c r="B131" s="15" t="s">
        <v>132</v>
      </c>
      <c r="C131" s="15" t="s">
        <v>325</v>
      </c>
      <c r="D131" s="15">
        <v>1185</v>
      </c>
      <c r="E131" s="15">
        <v>1164</v>
      </c>
      <c r="F131" s="15">
        <v>2349</v>
      </c>
    </row>
    <row r="132" spans="1:6" x14ac:dyDescent="0.3">
      <c r="A132" s="15">
        <v>4</v>
      </c>
      <c r="B132" s="15" t="s">
        <v>133</v>
      </c>
      <c r="C132" s="15" t="s">
        <v>323</v>
      </c>
      <c r="D132" s="15">
        <v>1754</v>
      </c>
      <c r="E132" s="15">
        <v>1693</v>
      </c>
      <c r="F132" s="15">
        <v>3447</v>
      </c>
    </row>
    <row r="133" spans="1:6" x14ac:dyDescent="0.3">
      <c r="A133" s="15">
        <v>4</v>
      </c>
      <c r="B133" s="15" t="s">
        <v>134</v>
      </c>
      <c r="C133" s="15" t="s">
        <v>326</v>
      </c>
      <c r="D133" s="15">
        <v>1246</v>
      </c>
      <c r="E133" s="15">
        <v>1138</v>
      </c>
      <c r="F133" s="15">
        <v>2384</v>
      </c>
    </row>
    <row r="134" spans="1:6" x14ac:dyDescent="0.3">
      <c r="A134" s="15">
        <v>4</v>
      </c>
      <c r="B134" s="15" t="s">
        <v>135</v>
      </c>
      <c r="C134" s="15" t="s">
        <v>327</v>
      </c>
      <c r="D134" s="15">
        <v>2113</v>
      </c>
      <c r="E134" s="15">
        <v>2078</v>
      </c>
      <c r="F134" s="15">
        <v>4191</v>
      </c>
    </row>
    <row r="135" spans="1:6" x14ac:dyDescent="0.3">
      <c r="A135" s="15">
        <v>4</v>
      </c>
      <c r="B135" s="15" t="s">
        <v>136</v>
      </c>
      <c r="C135" s="15" t="s">
        <v>328</v>
      </c>
      <c r="D135" s="15">
        <v>1557</v>
      </c>
      <c r="E135" s="15">
        <v>1479</v>
      </c>
      <c r="F135" s="15">
        <v>3036</v>
      </c>
    </row>
    <row r="136" spans="1:6" x14ac:dyDescent="0.3">
      <c r="A136" s="15">
        <v>4</v>
      </c>
      <c r="B136" s="15" t="s">
        <v>137</v>
      </c>
      <c r="C136" s="15" t="s">
        <v>329</v>
      </c>
      <c r="D136" s="15">
        <v>1228</v>
      </c>
      <c r="E136" s="15">
        <v>1144</v>
      </c>
      <c r="F136" s="15">
        <v>2372</v>
      </c>
    </row>
    <row r="137" spans="1:6" x14ac:dyDescent="0.3">
      <c r="A137" s="15">
        <v>4</v>
      </c>
      <c r="B137" s="15" t="s">
        <v>138</v>
      </c>
      <c r="C137" s="15" t="s">
        <v>330</v>
      </c>
      <c r="D137" s="15">
        <v>2032</v>
      </c>
      <c r="E137" s="15">
        <v>1856</v>
      </c>
      <c r="F137" s="15">
        <v>3888</v>
      </c>
    </row>
    <row r="138" spans="1:6" x14ac:dyDescent="0.3">
      <c r="A138" s="15">
        <v>4</v>
      </c>
      <c r="B138" s="15" t="s">
        <v>139</v>
      </c>
      <c r="C138" s="15" t="s">
        <v>331</v>
      </c>
      <c r="D138" s="15">
        <v>577</v>
      </c>
      <c r="E138" s="15">
        <v>588</v>
      </c>
      <c r="F138" s="15">
        <v>1165</v>
      </c>
    </row>
    <row r="139" spans="1:6" x14ac:dyDescent="0.3">
      <c r="A139" s="15">
        <v>4</v>
      </c>
      <c r="B139" s="15" t="s">
        <v>140</v>
      </c>
      <c r="C139" s="15" t="s">
        <v>332</v>
      </c>
      <c r="D139" s="15">
        <v>1215</v>
      </c>
      <c r="E139" s="15">
        <v>1165</v>
      </c>
      <c r="F139" s="15">
        <v>2380</v>
      </c>
    </row>
    <row r="140" spans="1:6" x14ac:dyDescent="0.3">
      <c r="A140" s="15">
        <v>4</v>
      </c>
      <c r="B140" s="15" t="s">
        <v>141</v>
      </c>
      <c r="C140" s="15" t="s">
        <v>333</v>
      </c>
      <c r="D140" s="15">
        <v>2202</v>
      </c>
      <c r="E140" s="15">
        <v>2010</v>
      </c>
      <c r="F140" s="15">
        <v>4212</v>
      </c>
    </row>
    <row r="141" spans="1:6" x14ac:dyDescent="0.3">
      <c r="A141" s="15">
        <v>4</v>
      </c>
      <c r="B141" s="15" t="s">
        <v>142</v>
      </c>
      <c r="C141" s="15" t="s">
        <v>334</v>
      </c>
      <c r="D141" s="15">
        <v>1572</v>
      </c>
      <c r="E141" s="15">
        <v>1481</v>
      </c>
      <c r="F141" s="15">
        <v>3053</v>
      </c>
    </row>
    <row r="142" spans="1:6" x14ac:dyDescent="0.3">
      <c r="A142" s="15">
        <v>4</v>
      </c>
      <c r="B142" s="15" t="s">
        <v>143</v>
      </c>
      <c r="C142" s="15" t="s">
        <v>335</v>
      </c>
      <c r="D142" s="15">
        <v>2069</v>
      </c>
      <c r="E142" s="15">
        <v>1936</v>
      </c>
      <c r="F142" s="15">
        <v>4005</v>
      </c>
    </row>
    <row r="143" spans="1:6" x14ac:dyDescent="0.3">
      <c r="A143" s="15">
        <v>4</v>
      </c>
      <c r="B143" s="15" t="s">
        <v>144</v>
      </c>
      <c r="C143" s="15" t="s">
        <v>336</v>
      </c>
      <c r="D143" s="15">
        <v>942</v>
      </c>
      <c r="E143" s="15">
        <v>950</v>
      </c>
      <c r="F143" s="15">
        <v>1892</v>
      </c>
    </row>
    <row r="144" spans="1:6" x14ac:dyDescent="0.3">
      <c r="A144" s="15">
        <v>4</v>
      </c>
      <c r="B144" s="15" t="s">
        <v>145</v>
      </c>
      <c r="C144" s="15" t="s">
        <v>337</v>
      </c>
      <c r="D144" s="15">
        <v>1461</v>
      </c>
      <c r="E144" s="15">
        <v>1437</v>
      </c>
      <c r="F144" s="15">
        <v>2898</v>
      </c>
    </row>
    <row r="145" spans="1:6" x14ac:dyDescent="0.3">
      <c r="A145" s="15">
        <v>4</v>
      </c>
      <c r="B145" s="15" t="s">
        <v>146</v>
      </c>
      <c r="C145" s="15" t="s">
        <v>338</v>
      </c>
      <c r="D145" s="15">
        <v>1227</v>
      </c>
      <c r="E145" s="15">
        <v>1133</v>
      </c>
      <c r="F145" s="15">
        <v>2360</v>
      </c>
    </row>
    <row r="146" spans="1:6" x14ac:dyDescent="0.3">
      <c r="A146" s="15">
        <v>4</v>
      </c>
      <c r="B146" s="15" t="s">
        <v>147</v>
      </c>
      <c r="C146" s="15" t="s">
        <v>339</v>
      </c>
      <c r="D146" s="15">
        <v>551</v>
      </c>
      <c r="E146" s="15">
        <v>537</v>
      </c>
      <c r="F146" s="15">
        <v>1088</v>
      </c>
    </row>
    <row r="147" spans="1:6" x14ac:dyDescent="0.3">
      <c r="A147" s="15">
        <v>3</v>
      </c>
      <c r="B147" s="15" t="s">
        <v>148</v>
      </c>
      <c r="C147" s="15" t="s">
        <v>340</v>
      </c>
      <c r="D147" s="15">
        <v>17867</v>
      </c>
      <c r="E147" s="15">
        <v>17509</v>
      </c>
      <c r="F147" s="15">
        <v>35376</v>
      </c>
    </row>
    <row r="148" spans="1:6" x14ac:dyDescent="0.3">
      <c r="A148" s="15">
        <v>4</v>
      </c>
      <c r="B148" s="15" t="s">
        <v>149</v>
      </c>
      <c r="C148" s="15" t="s">
        <v>341</v>
      </c>
      <c r="D148" s="15">
        <v>1410</v>
      </c>
      <c r="E148" s="15">
        <v>1386</v>
      </c>
      <c r="F148" s="15">
        <v>2796</v>
      </c>
    </row>
    <row r="149" spans="1:6" x14ac:dyDescent="0.3">
      <c r="A149" s="15">
        <v>4</v>
      </c>
      <c r="B149" s="15" t="s">
        <v>150</v>
      </c>
      <c r="C149" s="15" t="s">
        <v>342</v>
      </c>
      <c r="D149" s="15">
        <v>1243</v>
      </c>
      <c r="E149" s="15">
        <v>1315</v>
      </c>
      <c r="F149" s="15">
        <v>2558</v>
      </c>
    </row>
    <row r="150" spans="1:6" x14ac:dyDescent="0.3">
      <c r="A150" s="15">
        <v>4</v>
      </c>
      <c r="B150" s="15" t="s">
        <v>151</v>
      </c>
      <c r="C150" s="15" t="s">
        <v>343</v>
      </c>
      <c r="D150" s="15">
        <v>1081</v>
      </c>
      <c r="E150" s="15">
        <v>1091</v>
      </c>
      <c r="F150" s="15">
        <v>2172</v>
      </c>
    </row>
    <row r="151" spans="1:6" x14ac:dyDescent="0.3">
      <c r="A151" s="15">
        <v>4</v>
      </c>
      <c r="B151" s="15" t="s">
        <v>152</v>
      </c>
      <c r="C151" s="15" t="s">
        <v>340</v>
      </c>
      <c r="D151" s="15">
        <v>1665</v>
      </c>
      <c r="E151" s="15">
        <v>1703</v>
      </c>
      <c r="F151" s="15">
        <v>3368</v>
      </c>
    </row>
    <row r="152" spans="1:6" x14ac:dyDescent="0.3">
      <c r="A152" s="15">
        <v>4</v>
      </c>
      <c r="B152" s="15" t="s">
        <v>153</v>
      </c>
      <c r="C152" s="15" t="s">
        <v>344</v>
      </c>
      <c r="D152" s="15">
        <v>1771</v>
      </c>
      <c r="E152" s="15">
        <v>1686</v>
      </c>
      <c r="F152" s="15">
        <v>3457</v>
      </c>
    </row>
    <row r="153" spans="1:6" x14ac:dyDescent="0.3">
      <c r="A153" s="15">
        <v>4</v>
      </c>
      <c r="B153" s="15" t="s">
        <v>154</v>
      </c>
      <c r="C153" s="15" t="s">
        <v>345</v>
      </c>
      <c r="D153" s="15">
        <v>3162</v>
      </c>
      <c r="E153" s="15">
        <v>2987</v>
      </c>
      <c r="F153" s="15">
        <v>6149</v>
      </c>
    </row>
    <row r="154" spans="1:6" x14ac:dyDescent="0.3">
      <c r="A154" s="15">
        <v>4</v>
      </c>
      <c r="B154" s="15" t="s">
        <v>155</v>
      </c>
      <c r="C154" s="15" t="s">
        <v>346</v>
      </c>
      <c r="D154" s="15">
        <v>1625</v>
      </c>
      <c r="E154" s="15">
        <v>1549</v>
      </c>
      <c r="F154" s="15">
        <v>3174</v>
      </c>
    </row>
    <row r="155" spans="1:6" x14ac:dyDescent="0.3">
      <c r="A155" s="15">
        <v>4</v>
      </c>
      <c r="B155" s="15" t="s">
        <v>156</v>
      </c>
      <c r="C155" s="15" t="s">
        <v>347</v>
      </c>
      <c r="D155" s="15">
        <v>1966</v>
      </c>
      <c r="E155" s="15">
        <v>1919</v>
      </c>
      <c r="F155" s="15">
        <v>3885</v>
      </c>
    </row>
    <row r="156" spans="1:6" x14ac:dyDescent="0.3">
      <c r="A156" s="15">
        <v>4</v>
      </c>
      <c r="B156" s="15" t="s">
        <v>157</v>
      </c>
      <c r="C156" s="15" t="s">
        <v>348</v>
      </c>
      <c r="D156" s="15">
        <v>1537</v>
      </c>
      <c r="E156" s="15">
        <v>1542</v>
      </c>
      <c r="F156" s="15">
        <v>3079</v>
      </c>
    </row>
    <row r="157" spans="1:6" x14ac:dyDescent="0.3">
      <c r="A157" s="15">
        <v>4</v>
      </c>
      <c r="B157" s="15" t="s">
        <v>158</v>
      </c>
      <c r="C157" s="15" t="s">
        <v>349</v>
      </c>
      <c r="D157" s="15">
        <v>1528</v>
      </c>
      <c r="E157" s="15">
        <v>1490</v>
      </c>
      <c r="F157" s="15">
        <v>3018</v>
      </c>
    </row>
    <row r="158" spans="1:6" x14ac:dyDescent="0.3">
      <c r="A158" s="15">
        <v>4</v>
      </c>
      <c r="B158" s="15" t="s">
        <v>159</v>
      </c>
      <c r="C158" s="15" t="s">
        <v>350</v>
      </c>
      <c r="D158" s="15">
        <v>879</v>
      </c>
      <c r="E158" s="15">
        <v>841</v>
      </c>
      <c r="F158" s="15">
        <v>1720</v>
      </c>
    </row>
    <row r="159" spans="1:6" x14ac:dyDescent="0.3">
      <c r="A159" s="15">
        <v>3</v>
      </c>
      <c r="B159" s="15" t="s">
        <v>160</v>
      </c>
      <c r="C159" s="15" t="s">
        <v>351</v>
      </c>
      <c r="D159" s="15">
        <v>28498</v>
      </c>
      <c r="E159" s="15">
        <v>27910</v>
      </c>
      <c r="F159" s="15">
        <v>56408</v>
      </c>
    </row>
    <row r="160" spans="1:6" x14ac:dyDescent="0.3">
      <c r="A160" s="15">
        <v>4</v>
      </c>
      <c r="B160" s="15" t="s">
        <v>161</v>
      </c>
      <c r="C160" s="15" t="s">
        <v>352</v>
      </c>
      <c r="D160" s="15">
        <v>3178</v>
      </c>
      <c r="E160" s="15">
        <v>3194</v>
      </c>
      <c r="F160" s="15">
        <v>6372</v>
      </c>
    </row>
    <row r="161" spans="1:6" x14ac:dyDescent="0.3">
      <c r="A161" s="15">
        <v>4</v>
      </c>
      <c r="B161" s="15" t="s">
        <v>162</v>
      </c>
      <c r="C161" s="15" t="s">
        <v>353</v>
      </c>
      <c r="D161" s="15">
        <v>3401</v>
      </c>
      <c r="E161" s="15">
        <v>3126</v>
      </c>
      <c r="F161" s="15">
        <v>6527</v>
      </c>
    </row>
    <row r="162" spans="1:6" x14ac:dyDescent="0.3">
      <c r="A162" s="15">
        <v>4</v>
      </c>
      <c r="B162" s="15" t="s">
        <v>163</v>
      </c>
      <c r="C162" s="15" t="s">
        <v>354</v>
      </c>
      <c r="D162" s="15">
        <v>2427</v>
      </c>
      <c r="E162" s="15">
        <v>2365</v>
      </c>
      <c r="F162" s="15">
        <v>4792</v>
      </c>
    </row>
    <row r="163" spans="1:6" x14ac:dyDescent="0.3">
      <c r="A163" s="15">
        <v>4</v>
      </c>
      <c r="B163" s="15" t="s">
        <v>164</v>
      </c>
      <c r="C163" s="15" t="s">
        <v>351</v>
      </c>
      <c r="D163" s="15">
        <v>2471</v>
      </c>
      <c r="E163" s="15">
        <v>2367</v>
      </c>
      <c r="F163" s="15">
        <v>4838</v>
      </c>
    </row>
    <row r="164" spans="1:6" x14ac:dyDescent="0.3">
      <c r="A164" s="15">
        <v>4</v>
      </c>
      <c r="B164" s="15" t="s">
        <v>165</v>
      </c>
      <c r="C164" s="15" t="s">
        <v>355</v>
      </c>
      <c r="D164" s="15">
        <v>3303</v>
      </c>
      <c r="E164" s="15">
        <v>3282</v>
      </c>
      <c r="F164" s="15">
        <v>6585</v>
      </c>
    </row>
    <row r="165" spans="1:6" x14ac:dyDescent="0.3">
      <c r="A165" s="15">
        <v>4</v>
      </c>
      <c r="B165" s="15" t="s">
        <v>166</v>
      </c>
      <c r="C165" s="15" t="s">
        <v>273</v>
      </c>
      <c r="D165" s="15">
        <v>2405</v>
      </c>
      <c r="E165" s="15">
        <v>2447</v>
      </c>
      <c r="F165" s="15">
        <v>4852</v>
      </c>
    </row>
    <row r="166" spans="1:6" x14ac:dyDescent="0.3">
      <c r="A166" s="15">
        <v>4</v>
      </c>
      <c r="B166" s="15" t="s">
        <v>167</v>
      </c>
      <c r="C166" s="15" t="s">
        <v>356</v>
      </c>
      <c r="D166" s="15">
        <v>2241</v>
      </c>
      <c r="E166" s="15">
        <v>2264</v>
      </c>
      <c r="F166" s="15">
        <v>4505</v>
      </c>
    </row>
    <row r="167" spans="1:6" x14ac:dyDescent="0.3">
      <c r="A167" s="15">
        <v>4</v>
      </c>
      <c r="B167" s="15" t="s">
        <v>168</v>
      </c>
      <c r="C167" s="15" t="s">
        <v>357</v>
      </c>
      <c r="D167" s="15">
        <v>2713</v>
      </c>
      <c r="E167" s="15">
        <v>2671</v>
      </c>
      <c r="F167" s="15">
        <v>5384</v>
      </c>
    </row>
    <row r="168" spans="1:6" x14ac:dyDescent="0.3">
      <c r="A168" s="15">
        <v>4</v>
      </c>
      <c r="B168" s="15" t="s">
        <v>169</v>
      </c>
      <c r="C168" s="15" t="s">
        <v>358</v>
      </c>
      <c r="D168" s="15">
        <v>1814</v>
      </c>
      <c r="E168" s="15">
        <v>1754</v>
      </c>
      <c r="F168" s="15">
        <v>3568</v>
      </c>
    </row>
    <row r="169" spans="1:6" x14ac:dyDescent="0.3">
      <c r="A169" s="15">
        <v>4</v>
      </c>
      <c r="B169" s="15" t="s">
        <v>170</v>
      </c>
      <c r="C169" s="15" t="s">
        <v>359</v>
      </c>
      <c r="D169" s="15">
        <v>1063</v>
      </c>
      <c r="E169" s="15">
        <v>1080</v>
      </c>
      <c r="F169" s="15">
        <v>2143</v>
      </c>
    </row>
    <row r="170" spans="1:6" x14ac:dyDescent="0.3">
      <c r="A170" s="15">
        <v>4</v>
      </c>
      <c r="B170" s="15" t="s">
        <v>171</v>
      </c>
      <c r="C170" s="15" t="s">
        <v>360</v>
      </c>
      <c r="D170" s="15">
        <v>3482</v>
      </c>
      <c r="E170" s="15">
        <v>3360</v>
      </c>
      <c r="F170" s="15">
        <v>6842</v>
      </c>
    </row>
    <row r="171" spans="1:6" x14ac:dyDescent="0.3">
      <c r="A171" s="15">
        <v>3</v>
      </c>
      <c r="B171" s="15" t="s">
        <v>172</v>
      </c>
      <c r="C171" s="15" t="s">
        <v>361</v>
      </c>
      <c r="D171" s="15">
        <v>47023</v>
      </c>
      <c r="E171" s="15">
        <v>44789</v>
      </c>
      <c r="F171" s="15">
        <v>91812</v>
      </c>
    </row>
    <row r="172" spans="1:6" x14ac:dyDescent="0.3">
      <c r="A172" s="15">
        <v>4</v>
      </c>
      <c r="B172" s="15" t="s">
        <v>173</v>
      </c>
      <c r="C172" s="15" t="s">
        <v>362</v>
      </c>
      <c r="D172" s="15">
        <v>2567</v>
      </c>
      <c r="E172" s="15">
        <v>2492</v>
      </c>
      <c r="F172" s="15">
        <v>5059</v>
      </c>
    </row>
    <row r="173" spans="1:6" x14ac:dyDescent="0.3">
      <c r="A173" s="15">
        <v>4</v>
      </c>
      <c r="B173" s="15" t="s">
        <v>174</v>
      </c>
      <c r="C173" s="15" t="s">
        <v>363</v>
      </c>
      <c r="D173" s="15">
        <v>3239</v>
      </c>
      <c r="E173" s="15">
        <v>3166</v>
      </c>
      <c r="F173" s="15">
        <v>6405</v>
      </c>
    </row>
    <row r="174" spans="1:6" x14ac:dyDescent="0.3">
      <c r="A174" s="15">
        <v>4</v>
      </c>
      <c r="B174" s="15" t="s">
        <v>175</v>
      </c>
      <c r="C174" s="15" t="s">
        <v>364</v>
      </c>
      <c r="D174" s="15">
        <v>1908</v>
      </c>
      <c r="E174" s="15">
        <v>1795</v>
      </c>
      <c r="F174" s="15">
        <v>3703</v>
      </c>
    </row>
    <row r="175" spans="1:6" x14ac:dyDescent="0.3">
      <c r="A175" s="15">
        <v>4</v>
      </c>
      <c r="B175" s="15" t="s">
        <v>176</v>
      </c>
      <c r="C175" s="15" t="s">
        <v>365</v>
      </c>
      <c r="D175" s="15">
        <v>3197</v>
      </c>
      <c r="E175" s="15">
        <v>3034</v>
      </c>
      <c r="F175" s="15">
        <v>6231</v>
      </c>
    </row>
    <row r="176" spans="1:6" x14ac:dyDescent="0.3">
      <c r="A176" s="15">
        <v>4</v>
      </c>
      <c r="B176" s="15" t="s">
        <v>177</v>
      </c>
      <c r="C176" s="15" t="s">
        <v>366</v>
      </c>
      <c r="D176" s="15">
        <v>2961</v>
      </c>
      <c r="E176" s="15">
        <v>2849</v>
      </c>
      <c r="F176" s="15">
        <v>5810</v>
      </c>
    </row>
    <row r="177" spans="1:6" x14ac:dyDescent="0.3">
      <c r="A177" s="15">
        <v>4</v>
      </c>
      <c r="B177" s="15" t="s">
        <v>178</v>
      </c>
      <c r="C177" s="15" t="s">
        <v>367</v>
      </c>
      <c r="D177" s="15">
        <v>2125</v>
      </c>
      <c r="E177" s="15">
        <v>2057</v>
      </c>
      <c r="F177" s="15">
        <v>4182</v>
      </c>
    </row>
    <row r="178" spans="1:6" x14ac:dyDescent="0.3">
      <c r="A178" s="15">
        <v>4</v>
      </c>
      <c r="B178" s="15" t="s">
        <v>179</v>
      </c>
      <c r="C178" s="15" t="s">
        <v>368</v>
      </c>
      <c r="D178" s="15">
        <v>1863</v>
      </c>
      <c r="E178" s="15">
        <v>1731</v>
      </c>
      <c r="F178" s="15">
        <v>3594</v>
      </c>
    </row>
    <row r="179" spans="1:6" x14ac:dyDescent="0.3">
      <c r="A179" s="15">
        <v>4</v>
      </c>
      <c r="B179" s="15" t="s">
        <v>180</v>
      </c>
      <c r="C179" s="15" t="s">
        <v>369</v>
      </c>
      <c r="D179" s="15">
        <v>2522</v>
      </c>
      <c r="E179" s="15">
        <v>2373</v>
      </c>
      <c r="F179" s="15">
        <v>4895</v>
      </c>
    </row>
    <row r="180" spans="1:6" x14ac:dyDescent="0.3">
      <c r="A180" s="15">
        <v>4</v>
      </c>
      <c r="B180" s="15" t="s">
        <v>181</v>
      </c>
      <c r="C180" s="15" t="s">
        <v>370</v>
      </c>
      <c r="D180" s="15">
        <v>2781</v>
      </c>
      <c r="E180" s="15">
        <v>2661</v>
      </c>
      <c r="F180" s="15">
        <v>5442</v>
      </c>
    </row>
    <row r="181" spans="1:6" x14ac:dyDescent="0.3">
      <c r="A181" s="15">
        <v>4</v>
      </c>
      <c r="B181" s="15" t="s">
        <v>182</v>
      </c>
      <c r="C181" s="15" t="s">
        <v>361</v>
      </c>
      <c r="D181" s="15">
        <v>4252</v>
      </c>
      <c r="E181" s="15">
        <v>4163</v>
      </c>
      <c r="F181" s="15">
        <v>8415</v>
      </c>
    </row>
    <row r="182" spans="1:6" x14ac:dyDescent="0.3">
      <c r="A182" s="15">
        <v>4</v>
      </c>
      <c r="B182" s="15" t="s">
        <v>183</v>
      </c>
      <c r="C182" s="15" t="s">
        <v>371</v>
      </c>
      <c r="D182" s="15">
        <v>3346</v>
      </c>
      <c r="E182" s="15">
        <v>3174</v>
      </c>
      <c r="F182" s="15">
        <v>6520</v>
      </c>
    </row>
    <row r="183" spans="1:6" x14ac:dyDescent="0.3">
      <c r="A183" s="15">
        <v>4</v>
      </c>
      <c r="B183" s="15" t="s">
        <v>184</v>
      </c>
      <c r="C183" s="15" t="s">
        <v>372</v>
      </c>
      <c r="D183" s="15">
        <v>2665</v>
      </c>
      <c r="E183" s="15">
        <v>2476</v>
      </c>
      <c r="F183" s="15">
        <v>5141</v>
      </c>
    </row>
    <row r="184" spans="1:6" x14ac:dyDescent="0.3">
      <c r="A184" s="15">
        <v>4</v>
      </c>
      <c r="B184" s="15" t="s">
        <v>185</v>
      </c>
      <c r="C184" s="15" t="s">
        <v>373</v>
      </c>
      <c r="D184" s="15">
        <v>3723</v>
      </c>
      <c r="E184" s="15">
        <v>3636</v>
      </c>
      <c r="F184" s="15">
        <v>7359</v>
      </c>
    </row>
    <row r="185" spans="1:6" x14ac:dyDescent="0.3">
      <c r="A185" s="15">
        <v>4</v>
      </c>
      <c r="B185" s="15" t="s">
        <v>186</v>
      </c>
      <c r="C185" s="15" t="s">
        <v>374</v>
      </c>
      <c r="D185" s="15">
        <v>3177</v>
      </c>
      <c r="E185" s="15">
        <v>2943</v>
      </c>
      <c r="F185" s="15">
        <v>6120</v>
      </c>
    </row>
    <row r="186" spans="1:6" x14ac:dyDescent="0.3">
      <c r="A186" s="15">
        <v>4</v>
      </c>
      <c r="B186" s="15" t="s">
        <v>187</v>
      </c>
      <c r="C186" s="15" t="s">
        <v>375</v>
      </c>
      <c r="D186" s="15">
        <v>2489</v>
      </c>
      <c r="E186" s="15">
        <v>2388</v>
      </c>
      <c r="F186" s="15">
        <v>4877</v>
      </c>
    </row>
    <row r="187" spans="1:6" x14ac:dyDescent="0.3">
      <c r="A187" s="15">
        <v>4</v>
      </c>
      <c r="B187" s="15" t="s">
        <v>188</v>
      </c>
      <c r="C187" s="15" t="s">
        <v>376</v>
      </c>
      <c r="D187" s="15">
        <v>2788</v>
      </c>
      <c r="E187" s="15">
        <v>2587</v>
      </c>
      <c r="F187" s="15">
        <v>5375</v>
      </c>
    </row>
    <row r="188" spans="1:6" x14ac:dyDescent="0.3">
      <c r="A188" s="15">
        <v>4</v>
      </c>
      <c r="B188" s="15" t="s">
        <v>189</v>
      </c>
      <c r="C188" s="15" t="s">
        <v>377</v>
      </c>
      <c r="D188" s="15">
        <v>1420</v>
      </c>
      <c r="E188" s="15">
        <v>1264</v>
      </c>
      <c r="F188" s="15">
        <v>2684</v>
      </c>
    </row>
    <row r="189" spans="1:6" x14ac:dyDescent="0.3">
      <c r="A189" s="15">
        <v>3</v>
      </c>
      <c r="B189" s="15" t="s">
        <v>190</v>
      </c>
      <c r="C189" s="15" t="s">
        <v>378</v>
      </c>
      <c r="D189" s="15">
        <v>17008</v>
      </c>
      <c r="E189" s="15">
        <v>15909</v>
      </c>
      <c r="F189" s="15">
        <v>32917</v>
      </c>
    </row>
    <row r="190" spans="1:6" x14ac:dyDescent="0.3">
      <c r="A190" s="15">
        <v>4</v>
      </c>
      <c r="B190" s="15" t="s">
        <v>191</v>
      </c>
      <c r="C190" s="15" t="s">
        <v>379</v>
      </c>
      <c r="D190" s="15">
        <v>791</v>
      </c>
      <c r="E190" s="15">
        <v>721</v>
      </c>
      <c r="F190" s="15">
        <v>1512</v>
      </c>
    </row>
    <row r="191" spans="1:6" x14ac:dyDescent="0.3">
      <c r="A191" s="15">
        <v>4</v>
      </c>
      <c r="B191" s="15" t="s">
        <v>192</v>
      </c>
      <c r="C191" s="15" t="s">
        <v>380</v>
      </c>
      <c r="D191" s="15">
        <v>519</v>
      </c>
      <c r="E191" s="15">
        <v>491</v>
      </c>
      <c r="F191" s="15">
        <v>1010</v>
      </c>
    </row>
    <row r="192" spans="1:6" x14ac:dyDescent="0.3">
      <c r="A192" s="15">
        <v>4</v>
      </c>
      <c r="B192" s="15" t="s">
        <v>193</v>
      </c>
      <c r="C192" s="15" t="s">
        <v>381</v>
      </c>
      <c r="D192" s="15">
        <v>1357</v>
      </c>
      <c r="E192" s="15">
        <v>1247</v>
      </c>
      <c r="F192" s="15">
        <v>2604</v>
      </c>
    </row>
    <row r="193" spans="1:6" x14ac:dyDescent="0.3">
      <c r="A193" s="15">
        <v>4</v>
      </c>
      <c r="B193" s="15" t="s">
        <v>194</v>
      </c>
      <c r="C193" s="15" t="s">
        <v>382</v>
      </c>
      <c r="D193" s="15">
        <v>1286</v>
      </c>
      <c r="E193" s="15">
        <v>1205</v>
      </c>
      <c r="F193" s="15">
        <v>2491</v>
      </c>
    </row>
    <row r="194" spans="1:6" x14ac:dyDescent="0.3">
      <c r="A194" s="15">
        <v>4</v>
      </c>
      <c r="B194" s="15" t="s">
        <v>195</v>
      </c>
      <c r="C194" s="15" t="s">
        <v>383</v>
      </c>
      <c r="D194" s="15">
        <v>1281</v>
      </c>
      <c r="E194" s="15">
        <v>1180</v>
      </c>
      <c r="F194" s="15">
        <v>2461</v>
      </c>
    </row>
    <row r="195" spans="1:6" x14ac:dyDescent="0.3">
      <c r="A195" s="15">
        <v>4</v>
      </c>
      <c r="B195" s="15" t="s">
        <v>196</v>
      </c>
      <c r="C195" s="15" t="s">
        <v>384</v>
      </c>
      <c r="D195" s="15">
        <v>1051</v>
      </c>
      <c r="E195" s="15">
        <v>1001</v>
      </c>
      <c r="F195" s="15">
        <v>2052</v>
      </c>
    </row>
    <row r="196" spans="1:6" x14ac:dyDescent="0.3">
      <c r="A196" s="15">
        <v>4</v>
      </c>
      <c r="B196" s="15" t="s">
        <v>197</v>
      </c>
      <c r="C196" s="15" t="s">
        <v>385</v>
      </c>
      <c r="D196" s="15">
        <v>751</v>
      </c>
      <c r="E196" s="15">
        <v>685</v>
      </c>
      <c r="F196" s="15">
        <v>1436</v>
      </c>
    </row>
    <row r="197" spans="1:6" x14ac:dyDescent="0.3">
      <c r="A197" s="15">
        <v>4</v>
      </c>
      <c r="B197" s="15" t="s">
        <v>198</v>
      </c>
      <c r="C197" s="15" t="s">
        <v>386</v>
      </c>
      <c r="D197" s="15">
        <v>1379</v>
      </c>
      <c r="E197" s="15">
        <v>1276</v>
      </c>
      <c r="F197" s="15">
        <v>2655</v>
      </c>
    </row>
    <row r="198" spans="1:6" x14ac:dyDescent="0.3">
      <c r="A198" s="15">
        <v>4</v>
      </c>
      <c r="B198" s="15" t="s">
        <v>199</v>
      </c>
      <c r="C198" s="15" t="s">
        <v>387</v>
      </c>
      <c r="D198" s="15">
        <v>529</v>
      </c>
      <c r="E198" s="15">
        <v>476</v>
      </c>
      <c r="F198" s="15">
        <v>1005</v>
      </c>
    </row>
    <row r="199" spans="1:6" x14ac:dyDescent="0.3">
      <c r="A199" s="15">
        <v>4</v>
      </c>
      <c r="B199" s="15" t="s">
        <v>200</v>
      </c>
      <c r="C199" s="15" t="s">
        <v>388</v>
      </c>
      <c r="D199" s="15">
        <v>1350</v>
      </c>
      <c r="E199" s="15">
        <v>1274</v>
      </c>
      <c r="F199" s="15">
        <v>2624</v>
      </c>
    </row>
    <row r="200" spans="1:6" x14ac:dyDescent="0.3">
      <c r="A200" s="15">
        <v>4</v>
      </c>
      <c r="B200" s="15" t="s">
        <v>201</v>
      </c>
      <c r="C200" s="15" t="s">
        <v>389</v>
      </c>
      <c r="D200" s="15">
        <v>1573</v>
      </c>
      <c r="E200" s="15">
        <v>1451</v>
      </c>
      <c r="F200" s="15">
        <v>3024</v>
      </c>
    </row>
    <row r="201" spans="1:6" x14ac:dyDescent="0.3">
      <c r="A201" s="15">
        <v>4</v>
      </c>
      <c r="B201" s="15" t="s">
        <v>202</v>
      </c>
      <c r="C201" s="15" t="s">
        <v>378</v>
      </c>
      <c r="D201" s="15">
        <v>2809</v>
      </c>
      <c r="E201" s="15">
        <v>2659</v>
      </c>
      <c r="F201" s="15">
        <v>5468</v>
      </c>
    </row>
    <row r="202" spans="1:6" x14ac:dyDescent="0.3">
      <c r="A202" s="15">
        <v>4</v>
      </c>
      <c r="B202" s="15" t="s">
        <v>390</v>
      </c>
      <c r="C202" s="15" t="s">
        <v>489</v>
      </c>
      <c r="D202" s="15">
        <v>2332</v>
      </c>
      <c r="E202" s="15">
        <v>2243</v>
      </c>
      <c r="F202" s="15">
        <v>4575</v>
      </c>
    </row>
    <row r="203" spans="1:6" x14ac:dyDescent="0.3">
      <c r="A203" s="15">
        <v>3</v>
      </c>
      <c r="B203" s="15" t="s">
        <v>391</v>
      </c>
      <c r="C203" s="15" t="s">
        <v>490</v>
      </c>
      <c r="D203" s="15">
        <v>20488</v>
      </c>
      <c r="E203" s="15">
        <v>19526</v>
      </c>
      <c r="F203" s="15">
        <v>40014</v>
      </c>
    </row>
    <row r="204" spans="1:6" x14ac:dyDescent="0.3">
      <c r="A204" s="15">
        <v>4</v>
      </c>
      <c r="B204" s="15" t="s">
        <v>392</v>
      </c>
      <c r="C204" s="15" t="s">
        <v>491</v>
      </c>
      <c r="D204" s="15">
        <v>1036</v>
      </c>
      <c r="E204" s="15">
        <v>1002</v>
      </c>
      <c r="F204" s="15">
        <v>2038</v>
      </c>
    </row>
    <row r="205" spans="1:6" x14ac:dyDescent="0.3">
      <c r="A205" s="15">
        <v>4</v>
      </c>
      <c r="B205" s="15" t="s">
        <v>393</v>
      </c>
      <c r="C205" s="15" t="s">
        <v>492</v>
      </c>
      <c r="D205" s="15">
        <v>1017</v>
      </c>
      <c r="E205" s="15">
        <v>904</v>
      </c>
      <c r="F205" s="15">
        <v>1921</v>
      </c>
    </row>
    <row r="206" spans="1:6" x14ac:dyDescent="0.3">
      <c r="A206" s="15">
        <v>4</v>
      </c>
      <c r="B206" s="15" t="s">
        <v>394</v>
      </c>
      <c r="C206" s="15" t="s">
        <v>493</v>
      </c>
      <c r="D206" s="15">
        <v>1203</v>
      </c>
      <c r="E206" s="15">
        <v>1139</v>
      </c>
      <c r="F206" s="15">
        <v>2342</v>
      </c>
    </row>
    <row r="207" spans="1:6" x14ac:dyDescent="0.3">
      <c r="A207" s="15">
        <v>4</v>
      </c>
      <c r="B207" s="15" t="s">
        <v>395</v>
      </c>
      <c r="C207" s="15" t="s">
        <v>494</v>
      </c>
      <c r="D207" s="15">
        <v>925</v>
      </c>
      <c r="E207" s="15">
        <v>847</v>
      </c>
      <c r="F207" s="15">
        <v>1772</v>
      </c>
    </row>
    <row r="208" spans="1:6" x14ac:dyDescent="0.3">
      <c r="A208" s="15">
        <v>4</v>
      </c>
      <c r="B208" s="15" t="s">
        <v>396</v>
      </c>
      <c r="C208" s="15" t="s">
        <v>350</v>
      </c>
      <c r="D208" s="15">
        <v>1118</v>
      </c>
      <c r="E208" s="15">
        <v>1033</v>
      </c>
      <c r="F208" s="15">
        <v>2151</v>
      </c>
    </row>
    <row r="209" spans="1:6" x14ac:dyDescent="0.3">
      <c r="A209" s="15">
        <v>4</v>
      </c>
      <c r="B209" s="15" t="s">
        <v>397</v>
      </c>
      <c r="C209" s="15" t="s">
        <v>495</v>
      </c>
      <c r="D209" s="15">
        <v>1173</v>
      </c>
      <c r="E209" s="15">
        <v>1209</v>
      </c>
      <c r="F209" s="15">
        <v>2382</v>
      </c>
    </row>
    <row r="210" spans="1:6" x14ac:dyDescent="0.3">
      <c r="A210" s="15">
        <v>4</v>
      </c>
      <c r="B210" s="15" t="s">
        <v>398</v>
      </c>
      <c r="C210" s="15" t="s">
        <v>496</v>
      </c>
      <c r="D210" s="15">
        <v>971</v>
      </c>
      <c r="E210" s="15">
        <v>879</v>
      </c>
      <c r="F210" s="15">
        <v>1850</v>
      </c>
    </row>
    <row r="211" spans="1:6" x14ac:dyDescent="0.3">
      <c r="A211" s="15">
        <v>4</v>
      </c>
      <c r="B211" s="15" t="s">
        <v>399</v>
      </c>
      <c r="C211" s="15" t="s">
        <v>497</v>
      </c>
      <c r="D211" s="15">
        <v>1020</v>
      </c>
      <c r="E211" s="15">
        <v>965</v>
      </c>
      <c r="F211" s="15">
        <v>1985</v>
      </c>
    </row>
    <row r="212" spans="1:6" x14ac:dyDescent="0.3">
      <c r="A212" s="15">
        <v>4</v>
      </c>
      <c r="B212" s="15" t="s">
        <v>400</v>
      </c>
      <c r="C212" s="15" t="s">
        <v>498</v>
      </c>
      <c r="D212" s="15">
        <v>1191</v>
      </c>
      <c r="E212" s="15">
        <v>1125</v>
      </c>
      <c r="F212" s="15">
        <v>2316</v>
      </c>
    </row>
    <row r="213" spans="1:6" x14ac:dyDescent="0.3">
      <c r="A213" s="15">
        <v>4</v>
      </c>
      <c r="B213" s="15" t="s">
        <v>401</v>
      </c>
      <c r="C213" s="15" t="s">
        <v>499</v>
      </c>
      <c r="D213" s="15">
        <v>1496</v>
      </c>
      <c r="E213" s="15">
        <v>1351</v>
      </c>
      <c r="F213" s="15">
        <v>2847</v>
      </c>
    </row>
    <row r="214" spans="1:6" x14ac:dyDescent="0.3">
      <c r="A214" s="15">
        <v>4</v>
      </c>
      <c r="B214" s="15" t="s">
        <v>402</v>
      </c>
      <c r="C214" s="15" t="s">
        <v>500</v>
      </c>
      <c r="D214" s="15">
        <v>1200</v>
      </c>
      <c r="E214" s="15">
        <v>1167</v>
      </c>
      <c r="F214" s="15">
        <v>2367</v>
      </c>
    </row>
    <row r="215" spans="1:6" x14ac:dyDescent="0.3">
      <c r="A215" s="15">
        <v>4</v>
      </c>
      <c r="B215" s="15" t="s">
        <v>403</v>
      </c>
      <c r="C215" s="15" t="s">
        <v>490</v>
      </c>
      <c r="D215" s="15">
        <v>2527</v>
      </c>
      <c r="E215" s="15">
        <v>2499</v>
      </c>
      <c r="F215" s="15">
        <v>5026</v>
      </c>
    </row>
    <row r="216" spans="1:6" x14ac:dyDescent="0.3">
      <c r="A216" s="15">
        <v>4</v>
      </c>
      <c r="B216" s="15" t="s">
        <v>404</v>
      </c>
      <c r="C216" s="15" t="s">
        <v>501</v>
      </c>
      <c r="D216" s="15">
        <v>1080</v>
      </c>
      <c r="E216" s="15">
        <v>1078</v>
      </c>
      <c r="F216" s="15">
        <v>2158</v>
      </c>
    </row>
    <row r="217" spans="1:6" x14ac:dyDescent="0.3">
      <c r="A217" s="15">
        <v>4</v>
      </c>
      <c r="B217" s="15" t="s">
        <v>405</v>
      </c>
      <c r="C217" s="15" t="s">
        <v>502</v>
      </c>
      <c r="D217" s="15">
        <v>1655</v>
      </c>
      <c r="E217" s="15">
        <v>1581</v>
      </c>
      <c r="F217" s="15">
        <v>3236</v>
      </c>
    </row>
    <row r="218" spans="1:6" x14ac:dyDescent="0.3">
      <c r="A218" s="15">
        <v>4</v>
      </c>
      <c r="B218" s="15" t="s">
        <v>406</v>
      </c>
      <c r="C218" s="15" t="s">
        <v>503</v>
      </c>
      <c r="D218" s="15">
        <v>1877</v>
      </c>
      <c r="E218" s="15">
        <v>1798</v>
      </c>
      <c r="F218" s="15">
        <v>3675</v>
      </c>
    </row>
    <row r="219" spans="1:6" x14ac:dyDescent="0.3">
      <c r="A219" s="15">
        <v>4</v>
      </c>
      <c r="B219" s="15" t="s">
        <v>407</v>
      </c>
      <c r="C219" s="15" t="s">
        <v>504</v>
      </c>
      <c r="D219" s="15">
        <v>999</v>
      </c>
      <c r="E219" s="15">
        <v>949</v>
      </c>
      <c r="F219" s="15">
        <v>1948</v>
      </c>
    </row>
    <row r="220" spans="1:6" x14ac:dyDescent="0.3">
      <c r="A220" s="15">
        <v>3</v>
      </c>
      <c r="B220" s="15" t="s">
        <v>408</v>
      </c>
      <c r="C220" s="15" t="s">
        <v>505</v>
      </c>
      <c r="D220" s="15">
        <v>23990</v>
      </c>
      <c r="E220" s="15">
        <v>22324</v>
      </c>
      <c r="F220" s="15">
        <v>46314</v>
      </c>
    </row>
    <row r="221" spans="1:6" x14ac:dyDescent="0.3">
      <c r="A221" s="15">
        <v>4</v>
      </c>
      <c r="B221" s="15" t="s">
        <v>409</v>
      </c>
      <c r="C221" s="15" t="s">
        <v>328</v>
      </c>
      <c r="D221" s="15">
        <v>646</v>
      </c>
      <c r="E221" s="15">
        <v>617</v>
      </c>
      <c r="F221" s="15">
        <v>1263</v>
      </c>
    </row>
    <row r="222" spans="1:6" x14ac:dyDescent="0.3">
      <c r="A222" s="15">
        <v>4</v>
      </c>
      <c r="B222" s="15" t="s">
        <v>410</v>
      </c>
      <c r="C222" s="15" t="s">
        <v>366</v>
      </c>
      <c r="D222" s="15">
        <v>1594</v>
      </c>
      <c r="E222" s="15">
        <v>1486</v>
      </c>
      <c r="F222" s="15">
        <v>3080</v>
      </c>
    </row>
    <row r="223" spans="1:6" x14ac:dyDescent="0.3">
      <c r="A223" s="15">
        <v>4</v>
      </c>
      <c r="B223" s="15" t="s">
        <v>411</v>
      </c>
      <c r="C223" s="15" t="s">
        <v>506</v>
      </c>
      <c r="D223" s="15">
        <v>979</v>
      </c>
      <c r="E223" s="15">
        <v>898</v>
      </c>
      <c r="F223" s="15">
        <v>1877</v>
      </c>
    </row>
    <row r="224" spans="1:6" x14ac:dyDescent="0.3">
      <c r="A224" s="15">
        <v>4</v>
      </c>
      <c r="B224" s="15" t="s">
        <v>412</v>
      </c>
      <c r="C224" s="15" t="s">
        <v>507</v>
      </c>
      <c r="D224" s="15">
        <v>1704</v>
      </c>
      <c r="E224" s="15">
        <v>1539</v>
      </c>
      <c r="F224" s="15">
        <v>3243</v>
      </c>
    </row>
    <row r="225" spans="1:6" x14ac:dyDescent="0.3">
      <c r="A225" s="15">
        <v>4</v>
      </c>
      <c r="B225" s="15" t="s">
        <v>413</v>
      </c>
      <c r="C225" s="15" t="s">
        <v>508</v>
      </c>
      <c r="D225" s="15">
        <v>1553</v>
      </c>
      <c r="E225" s="15">
        <v>1451</v>
      </c>
      <c r="F225" s="15">
        <v>3004</v>
      </c>
    </row>
    <row r="226" spans="1:6" x14ac:dyDescent="0.3">
      <c r="A226" s="15">
        <v>4</v>
      </c>
      <c r="B226" s="15" t="s">
        <v>414</v>
      </c>
      <c r="C226" s="15" t="s">
        <v>509</v>
      </c>
      <c r="D226" s="15">
        <v>962</v>
      </c>
      <c r="E226" s="15">
        <v>947</v>
      </c>
      <c r="F226" s="15">
        <v>1909</v>
      </c>
    </row>
    <row r="227" spans="1:6" x14ac:dyDescent="0.3">
      <c r="A227" s="15">
        <v>4</v>
      </c>
      <c r="B227" s="15" t="s">
        <v>415</v>
      </c>
      <c r="C227" s="15" t="s">
        <v>510</v>
      </c>
      <c r="D227" s="15">
        <v>860</v>
      </c>
      <c r="E227" s="15">
        <v>801</v>
      </c>
      <c r="F227" s="15">
        <v>1661</v>
      </c>
    </row>
    <row r="228" spans="1:6" x14ac:dyDescent="0.3">
      <c r="A228" s="15">
        <v>4</v>
      </c>
      <c r="B228" s="15" t="s">
        <v>416</v>
      </c>
      <c r="C228" s="15" t="s">
        <v>511</v>
      </c>
      <c r="D228" s="15">
        <v>2284</v>
      </c>
      <c r="E228" s="15">
        <v>2175</v>
      </c>
      <c r="F228" s="15">
        <v>4459</v>
      </c>
    </row>
    <row r="229" spans="1:6" x14ac:dyDescent="0.3">
      <c r="A229" s="15">
        <v>4</v>
      </c>
      <c r="B229" s="15" t="s">
        <v>417</v>
      </c>
      <c r="C229" s="15" t="s">
        <v>505</v>
      </c>
      <c r="D229" s="15">
        <v>2292</v>
      </c>
      <c r="E229" s="15">
        <v>2092</v>
      </c>
      <c r="F229" s="15">
        <v>4384</v>
      </c>
    </row>
    <row r="230" spans="1:6" x14ac:dyDescent="0.3">
      <c r="A230" s="15">
        <v>4</v>
      </c>
      <c r="B230" s="15" t="s">
        <v>418</v>
      </c>
      <c r="C230" s="15" t="s">
        <v>512</v>
      </c>
      <c r="D230" s="15">
        <v>2206</v>
      </c>
      <c r="E230" s="15">
        <v>2006</v>
      </c>
      <c r="F230" s="15">
        <v>4212</v>
      </c>
    </row>
    <row r="231" spans="1:6" x14ac:dyDescent="0.3">
      <c r="A231" s="15">
        <v>4</v>
      </c>
      <c r="B231" s="15" t="s">
        <v>419</v>
      </c>
      <c r="C231" s="15" t="s">
        <v>513</v>
      </c>
      <c r="D231" s="15">
        <v>1377</v>
      </c>
      <c r="E231" s="15">
        <v>1274</v>
      </c>
      <c r="F231" s="15">
        <v>2651</v>
      </c>
    </row>
    <row r="232" spans="1:6" x14ac:dyDescent="0.3">
      <c r="A232" s="15">
        <v>4</v>
      </c>
      <c r="B232" s="15" t="s">
        <v>420</v>
      </c>
      <c r="C232" s="15" t="s">
        <v>514</v>
      </c>
      <c r="D232" s="15">
        <v>1791</v>
      </c>
      <c r="E232" s="15">
        <v>1646</v>
      </c>
      <c r="F232" s="15">
        <v>3437</v>
      </c>
    </row>
    <row r="233" spans="1:6" x14ac:dyDescent="0.3">
      <c r="A233" s="15">
        <v>4</v>
      </c>
      <c r="B233" s="15" t="s">
        <v>421</v>
      </c>
      <c r="C233" s="15" t="s">
        <v>515</v>
      </c>
      <c r="D233" s="15">
        <v>912</v>
      </c>
      <c r="E233" s="15">
        <v>888</v>
      </c>
      <c r="F233" s="15">
        <v>1800</v>
      </c>
    </row>
    <row r="234" spans="1:6" x14ac:dyDescent="0.3">
      <c r="A234" s="15">
        <v>4</v>
      </c>
      <c r="B234" s="15" t="s">
        <v>422</v>
      </c>
      <c r="C234" s="15" t="s">
        <v>337</v>
      </c>
      <c r="D234" s="15">
        <v>642</v>
      </c>
      <c r="E234" s="15">
        <v>610</v>
      </c>
      <c r="F234" s="15">
        <v>1252</v>
      </c>
    </row>
    <row r="235" spans="1:6" x14ac:dyDescent="0.3">
      <c r="A235" s="15">
        <v>4</v>
      </c>
      <c r="B235" s="15" t="s">
        <v>423</v>
      </c>
      <c r="C235" s="15" t="s">
        <v>516</v>
      </c>
      <c r="D235" s="15">
        <v>953</v>
      </c>
      <c r="E235" s="15">
        <v>922</v>
      </c>
      <c r="F235" s="15">
        <v>1875</v>
      </c>
    </row>
    <row r="236" spans="1:6" x14ac:dyDescent="0.3">
      <c r="A236" s="15">
        <v>4</v>
      </c>
      <c r="B236" s="15" t="s">
        <v>424</v>
      </c>
      <c r="C236" s="15" t="s">
        <v>517</v>
      </c>
      <c r="D236" s="15">
        <v>1690</v>
      </c>
      <c r="E236" s="15">
        <v>1566</v>
      </c>
      <c r="F236" s="15">
        <v>3256</v>
      </c>
    </row>
    <row r="237" spans="1:6" x14ac:dyDescent="0.3">
      <c r="A237" s="15">
        <v>4</v>
      </c>
      <c r="B237" s="15" t="s">
        <v>425</v>
      </c>
      <c r="C237" s="15" t="s">
        <v>518</v>
      </c>
      <c r="D237" s="15">
        <v>1545</v>
      </c>
      <c r="E237" s="15">
        <v>1406</v>
      </c>
      <c r="F237" s="15">
        <v>2951</v>
      </c>
    </row>
    <row r="238" spans="1:6" x14ac:dyDescent="0.3">
      <c r="A238" s="15">
        <v>3</v>
      </c>
      <c r="B238" s="15" t="s">
        <v>426</v>
      </c>
      <c r="C238" s="15" t="s">
        <v>519</v>
      </c>
      <c r="D238" s="15">
        <v>21980</v>
      </c>
      <c r="E238" s="15">
        <v>20702</v>
      </c>
      <c r="F238" s="15">
        <v>42682</v>
      </c>
    </row>
    <row r="239" spans="1:6" x14ac:dyDescent="0.3">
      <c r="A239" s="15">
        <v>4</v>
      </c>
      <c r="B239" s="15" t="s">
        <v>427</v>
      </c>
      <c r="C239" s="15" t="s">
        <v>519</v>
      </c>
      <c r="D239" s="15">
        <v>7006</v>
      </c>
      <c r="E239" s="15">
        <v>6565</v>
      </c>
      <c r="F239" s="15">
        <v>13571</v>
      </c>
    </row>
    <row r="240" spans="1:6" x14ac:dyDescent="0.3">
      <c r="A240" s="15">
        <v>4</v>
      </c>
      <c r="B240" s="15" t="s">
        <v>428</v>
      </c>
      <c r="C240" s="15" t="s">
        <v>520</v>
      </c>
      <c r="D240" s="15">
        <v>2902</v>
      </c>
      <c r="E240" s="15">
        <v>2696</v>
      </c>
      <c r="F240" s="15">
        <v>5598</v>
      </c>
    </row>
    <row r="241" spans="1:6" x14ac:dyDescent="0.3">
      <c r="A241" s="15">
        <v>4</v>
      </c>
      <c r="B241" s="15" t="s">
        <v>429</v>
      </c>
      <c r="C241" s="15" t="s">
        <v>521</v>
      </c>
      <c r="D241" s="15">
        <v>1477</v>
      </c>
      <c r="E241" s="15">
        <v>1408</v>
      </c>
      <c r="F241" s="15">
        <v>2885</v>
      </c>
    </row>
    <row r="242" spans="1:6" x14ac:dyDescent="0.3">
      <c r="A242" s="15">
        <v>4</v>
      </c>
      <c r="B242" s="15" t="s">
        <v>430</v>
      </c>
      <c r="C242" s="15" t="s">
        <v>522</v>
      </c>
      <c r="D242" s="15">
        <v>2688</v>
      </c>
      <c r="E242" s="15">
        <v>2638</v>
      </c>
      <c r="F242" s="15">
        <v>5326</v>
      </c>
    </row>
    <row r="243" spans="1:6" x14ac:dyDescent="0.3">
      <c r="A243" s="15">
        <v>4</v>
      </c>
      <c r="B243" s="15" t="s">
        <v>431</v>
      </c>
      <c r="C243" s="15" t="s">
        <v>523</v>
      </c>
      <c r="D243" s="15">
        <v>1606</v>
      </c>
      <c r="E243" s="15">
        <v>1516</v>
      </c>
      <c r="F243" s="15">
        <v>3122</v>
      </c>
    </row>
    <row r="244" spans="1:6" x14ac:dyDescent="0.3">
      <c r="A244" s="15">
        <v>4</v>
      </c>
      <c r="B244" s="15" t="s">
        <v>432</v>
      </c>
      <c r="C244" s="15" t="s">
        <v>524</v>
      </c>
      <c r="D244" s="15">
        <v>1876</v>
      </c>
      <c r="E244" s="15">
        <v>1741</v>
      </c>
      <c r="F244" s="15">
        <v>3617</v>
      </c>
    </row>
    <row r="245" spans="1:6" x14ac:dyDescent="0.3">
      <c r="A245" s="15">
        <v>4</v>
      </c>
      <c r="B245" s="15" t="s">
        <v>433</v>
      </c>
      <c r="C245" s="15" t="s">
        <v>279</v>
      </c>
      <c r="D245" s="15">
        <v>2348</v>
      </c>
      <c r="E245" s="15">
        <v>2200</v>
      </c>
      <c r="F245" s="15">
        <v>4548</v>
      </c>
    </row>
    <row r="246" spans="1:6" x14ac:dyDescent="0.3">
      <c r="A246" s="15">
        <v>4</v>
      </c>
      <c r="B246" s="15" t="s">
        <v>434</v>
      </c>
      <c r="C246" s="15" t="s">
        <v>525</v>
      </c>
      <c r="D246" s="15">
        <v>2077</v>
      </c>
      <c r="E246" s="15">
        <v>1938</v>
      </c>
      <c r="F246" s="15">
        <v>4015</v>
      </c>
    </row>
    <row r="247" spans="1:6" x14ac:dyDescent="0.3">
      <c r="A247" s="15">
        <v>3</v>
      </c>
      <c r="B247" s="15" t="s">
        <v>435</v>
      </c>
      <c r="C247" s="15" t="s">
        <v>526</v>
      </c>
      <c r="D247" s="15">
        <v>26773</v>
      </c>
      <c r="E247" s="15">
        <v>25098</v>
      </c>
      <c r="F247" s="15">
        <v>51871</v>
      </c>
    </row>
    <row r="248" spans="1:6" x14ac:dyDescent="0.3">
      <c r="A248" s="15">
        <v>4</v>
      </c>
      <c r="B248" s="15" t="s">
        <v>436</v>
      </c>
      <c r="C248" s="15" t="s">
        <v>279</v>
      </c>
      <c r="D248" s="15">
        <v>961</v>
      </c>
      <c r="E248" s="15">
        <v>912</v>
      </c>
      <c r="F248" s="15">
        <v>1873</v>
      </c>
    </row>
    <row r="249" spans="1:6" x14ac:dyDescent="0.3">
      <c r="A249" s="15">
        <v>4</v>
      </c>
      <c r="B249" s="15" t="s">
        <v>437</v>
      </c>
      <c r="C249" s="15" t="s">
        <v>527</v>
      </c>
      <c r="D249" s="15">
        <v>1036</v>
      </c>
      <c r="E249" s="15">
        <v>959</v>
      </c>
      <c r="F249" s="15">
        <v>1995</v>
      </c>
    </row>
    <row r="250" spans="1:6" x14ac:dyDescent="0.3">
      <c r="A250" s="15">
        <v>4</v>
      </c>
      <c r="B250" s="15" t="s">
        <v>438</v>
      </c>
      <c r="C250" s="15" t="s">
        <v>528</v>
      </c>
      <c r="D250" s="15">
        <v>1375</v>
      </c>
      <c r="E250" s="15">
        <v>1233</v>
      </c>
      <c r="F250" s="15">
        <v>2608</v>
      </c>
    </row>
    <row r="251" spans="1:6" x14ac:dyDescent="0.3">
      <c r="A251" s="15">
        <v>4</v>
      </c>
      <c r="B251" s="15" t="s">
        <v>439</v>
      </c>
      <c r="C251" s="15" t="s">
        <v>529</v>
      </c>
      <c r="D251" s="15">
        <v>1944</v>
      </c>
      <c r="E251" s="15">
        <v>1732</v>
      </c>
      <c r="F251" s="15">
        <v>3676</v>
      </c>
    </row>
    <row r="252" spans="1:6" x14ac:dyDescent="0.3">
      <c r="A252" s="15">
        <v>4</v>
      </c>
      <c r="B252" s="15" t="s">
        <v>440</v>
      </c>
      <c r="C252" s="15" t="s">
        <v>530</v>
      </c>
      <c r="D252" s="15">
        <v>1024</v>
      </c>
      <c r="E252" s="15">
        <v>950</v>
      </c>
      <c r="F252" s="15">
        <v>1974</v>
      </c>
    </row>
    <row r="253" spans="1:6" x14ac:dyDescent="0.3">
      <c r="A253" s="15">
        <v>4</v>
      </c>
      <c r="B253" s="15" t="s">
        <v>441</v>
      </c>
      <c r="C253" s="15" t="s">
        <v>313</v>
      </c>
      <c r="D253" s="15">
        <v>1065</v>
      </c>
      <c r="E253" s="15">
        <v>958</v>
      </c>
      <c r="F253" s="15">
        <v>2023</v>
      </c>
    </row>
    <row r="254" spans="1:6" x14ac:dyDescent="0.3">
      <c r="A254" s="15">
        <v>4</v>
      </c>
      <c r="B254" s="15" t="s">
        <v>442</v>
      </c>
      <c r="C254" s="15" t="s">
        <v>531</v>
      </c>
      <c r="D254" s="15">
        <v>2192</v>
      </c>
      <c r="E254" s="15">
        <v>1953</v>
      </c>
      <c r="F254" s="15">
        <v>4145</v>
      </c>
    </row>
    <row r="255" spans="1:6" x14ac:dyDescent="0.3">
      <c r="A255" s="15">
        <v>4</v>
      </c>
      <c r="B255" s="15" t="s">
        <v>443</v>
      </c>
      <c r="C255" s="15" t="s">
        <v>204</v>
      </c>
      <c r="D255" s="15">
        <v>1298</v>
      </c>
      <c r="E255" s="15">
        <v>1238</v>
      </c>
      <c r="F255" s="15">
        <v>2536</v>
      </c>
    </row>
    <row r="256" spans="1:6" x14ac:dyDescent="0.3">
      <c r="A256" s="15">
        <v>4</v>
      </c>
      <c r="B256" s="15" t="s">
        <v>444</v>
      </c>
      <c r="C256" s="15" t="s">
        <v>526</v>
      </c>
      <c r="D256" s="15">
        <v>2653</v>
      </c>
      <c r="E256" s="15">
        <v>2604</v>
      </c>
      <c r="F256" s="15">
        <v>5257</v>
      </c>
    </row>
    <row r="257" spans="1:6" x14ac:dyDescent="0.3">
      <c r="A257" s="15">
        <v>4</v>
      </c>
      <c r="B257" s="15" t="s">
        <v>445</v>
      </c>
      <c r="C257" s="15" t="s">
        <v>532</v>
      </c>
      <c r="D257" s="15">
        <v>1577</v>
      </c>
      <c r="E257" s="15">
        <v>1572</v>
      </c>
      <c r="F257" s="15">
        <v>3149</v>
      </c>
    </row>
    <row r="258" spans="1:6" x14ac:dyDescent="0.3">
      <c r="A258" s="15">
        <v>4</v>
      </c>
      <c r="B258" s="15" t="s">
        <v>446</v>
      </c>
      <c r="C258" s="15" t="s">
        <v>533</v>
      </c>
      <c r="D258" s="15">
        <v>2048</v>
      </c>
      <c r="E258" s="15">
        <v>1883</v>
      </c>
      <c r="F258" s="15">
        <v>3931</v>
      </c>
    </row>
    <row r="259" spans="1:6" x14ac:dyDescent="0.3">
      <c r="A259" s="15">
        <v>4</v>
      </c>
      <c r="B259" s="15" t="s">
        <v>447</v>
      </c>
      <c r="C259" s="15" t="s">
        <v>534</v>
      </c>
      <c r="D259" s="15">
        <v>1543</v>
      </c>
      <c r="E259" s="15">
        <v>1421</v>
      </c>
      <c r="F259" s="15">
        <v>2964</v>
      </c>
    </row>
    <row r="260" spans="1:6" x14ac:dyDescent="0.3">
      <c r="A260" s="15">
        <v>4</v>
      </c>
      <c r="B260" s="15" t="s">
        <v>448</v>
      </c>
      <c r="C260" s="15" t="s">
        <v>535</v>
      </c>
      <c r="D260" s="15">
        <v>2663</v>
      </c>
      <c r="E260" s="15">
        <v>2570</v>
      </c>
      <c r="F260" s="15">
        <v>5233</v>
      </c>
    </row>
    <row r="261" spans="1:6" x14ac:dyDescent="0.3">
      <c r="A261" s="15">
        <v>4</v>
      </c>
      <c r="B261" s="15" t="s">
        <v>449</v>
      </c>
      <c r="C261" s="15" t="s">
        <v>536</v>
      </c>
      <c r="D261" s="15">
        <v>2683</v>
      </c>
      <c r="E261" s="15">
        <v>2542</v>
      </c>
      <c r="F261" s="15">
        <v>5225</v>
      </c>
    </row>
    <row r="262" spans="1:6" x14ac:dyDescent="0.3">
      <c r="A262" s="15">
        <v>4</v>
      </c>
      <c r="B262" s="15" t="s">
        <v>450</v>
      </c>
      <c r="C262" s="15" t="s">
        <v>537</v>
      </c>
      <c r="D262" s="15">
        <v>505</v>
      </c>
      <c r="E262" s="15">
        <v>497</v>
      </c>
      <c r="F262" s="15">
        <v>1002</v>
      </c>
    </row>
    <row r="263" spans="1:6" x14ac:dyDescent="0.3">
      <c r="A263" s="15">
        <v>4</v>
      </c>
      <c r="B263" s="15" t="s">
        <v>451</v>
      </c>
      <c r="C263" s="15" t="s">
        <v>538</v>
      </c>
      <c r="D263" s="15">
        <v>923</v>
      </c>
      <c r="E263" s="15">
        <v>885</v>
      </c>
      <c r="F263" s="15">
        <v>1808</v>
      </c>
    </row>
    <row r="264" spans="1:6" x14ac:dyDescent="0.3">
      <c r="A264" s="15">
        <v>4</v>
      </c>
      <c r="B264" s="15" t="s">
        <v>452</v>
      </c>
      <c r="C264" s="15" t="s">
        <v>539</v>
      </c>
      <c r="D264" s="15">
        <v>1283</v>
      </c>
      <c r="E264" s="15">
        <v>1189</v>
      </c>
      <c r="F264" s="15">
        <v>2472</v>
      </c>
    </row>
    <row r="265" spans="1:6" x14ac:dyDescent="0.3">
      <c r="A265" s="15">
        <v>3</v>
      </c>
      <c r="B265" s="15" t="s">
        <v>453</v>
      </c>
      <c r="C265" s="15" t="s">
        <v>540</v>
      </c>
      <c r="D265" s="15">
        <v>24796</v>
      </c>
      <c r="E265" s="15">
        <v>23742</v>
      </c>
      <c r="F265" s="15">
        <v>48538</v>
      </c>
    </row>
    <row r="266" spans="1:6" x14ac:dyDescent="0.3">
      <c r="A266" s="15">
        <v>4</v>
      </c>
      <c r="B266" s="15" t="s">
        <v>454</v>
      </c>
      <c r="C266" s="15" t="s">
        <v>540</v>
      </c>
      <c r="D266" s="15">
        <v>2566</v>
      </c>
      <c r="E266" s="15">
        <v>2463</v>
      </c>
      <c r="F266" s="15">
        <v>5029</v>
      </c>
    </row>
    <row r="267" spans="1:6" x14ac:dyDescent="0.3">
      <c r="A267" s="15">
        <v>4</v>
      </c>
      <c r="B267" s="15" t="s">
        <v>455</v>
      </c>
      <c r="C267" s="15" t="s">
        <v>541</v>
      </c>
      <c r="D267" s="15">
        <v>1278</v>
      </c>
      <c r="E267" s="15">
        <v>1210</v>
      </c>
      <c r="F267" s="15">
        <v>2488</v>
      </c>
    </row>
    <row r="268" spans="1:6" x14ac:dyDescent="0.3">
      <c r="A268" s="15">
        <v>4</v>
      </c>
      <c r="B268" s="15" t="s">
        <v>456</v>
      </c>
      <c r="C268" s="15" t="s">
        <v>542</v>
      </c>
      <c r="D268" s="15">
        <v>1292</v>
      </c>
      <c r="E268" s="15">
        <v>1189</v>
      </c>
      <c r="F268" s="15">
        <v>2481</v>
      </c>
    </row>
    <row r="269" spans="1:6" x14ac:dyDescent="0.3">
      <c r="A269" s="15">
        <v>4</v>
      </c>
      <c r="B269" s="15" t="s">
        <v>457</v>
      </c>
      <c r="C269" s="15" t="s">
        <v>543</v>
      </c>
      <c r="D269" s="15">
        <v>2303</v>
      </c>
      <c r="E269" s="15">
        <v>2213</v>
      </c>
      <c r="F269" s="15">
        <v>4516</v>
      </c>
    </row>
    <row r="270" spans="1:6" x14ac:dyDescent="0.3">
      <c r="A270" s="15">
        <v>4</v>
      </c>
      <c r="B270" s="15" t="s">
        <v>458</v>
      </c>
      <c r="C270" s="15" t="s">
        <v>339</v>
      </c>
      <c r="D270" s="15">
        <v>1163</v>
      </c>
      <c r="E270" s="15">
        <v>1116</v>
      </c>
      <c r="F270" s="15">
        <v>2279</v>
      </c>
    </row>
    <row r="271" spans="1:6" x14ac:dyDescent="0.3">
      <c r="A271" s="15">
        <v>4</v>
      </c>
      <c r="B271" s="15" t="s">
        <v>459</v>
      </c>
      <c r="C271" s="15" t="s">
        <v>544</v>
      </c>
      <c r="D271" s="15">
        <v>2160</v>
      </c>
      <c r="E271" s="15">
        <v>2052</v>
      </c>
      <c r="F271" s="15">
        <v>4212</v>
      </c>
    </row>
    <row r="272" spans="1:6" x14ac:dyDescent="0.3">
      <c r="A272" s="15">
        <v>4</v>
      </c>
      <c r="B272" s="15" t="s">
        <v>460</v>
      </c>
      <c r="C272" s="15" t="s">
        <v>545</v>
      </c>
      <c r="D272" s="15">
        <v>1096</v>
      </c>
      <c r="E272" s="15">
        <v>976</v>
      </c>
      <c r="F272" s="15">
        <v>2072</v>
      </c>
    </row>
    <row r="273" spans="1:6" x14ac:dyDescent="0.3">
      <c r="A273" s="15">
        <v>4</v>
      </c>
      <c r="B273" s="15" t="s">
        <v>461</v>
      </c>
      <c r="C273" s="15" t="s">
        <v>546</v>
      </c>
      <c r="D273" s="15">
        <v>1189</v>
      </c>
      <c r="E273" s="15">
        <v>1121</v>
      </c>
      <c r="F273" s="15">
        <v>2310</v>
      </c>
    </row>
    <row r="274" spans="1:6" x14ac:dyDescent="0.3">
      <c r="A274" s="15">
        <v>4</v>
      </c>
      <c r="B274" s="15" t="s">
        <v>462</v>
      </c>
      <c r="C274" s="15" t="s">
        <v>547</v>
      </c>
      <c r="D274" s="15">
        <v>1752</v>
      </c>
      <c r="E274" s="15">
        <v>1693</v>
      </c>
      <c r="F274" s="15">
        <v>3445</v>
      </c>
    </row>
    <row r="275" spans="1:6" x14ac:dyDescent="0.3">
      <c r="A275" s="15">
        <v>4</v>
      </c>
      <c r="B275" s="15" t="s">
        <v>463</v>
      </c>
      <c r="C275" s="15" t="s">
        <v>548</v>
      </c>
      <c r="D275" s="15">
        <v>1580</v>
      </c>
      <c r="E275" s="15">
        <v>1563</v>
      </c>
      <c r="F275" s="15">
        <v>3143</v>
      </c>
    </row>
    <row r="276" spans="1:6" x14ac:dyDescent="0.3">
      <c r="A276" s="15">
        <v>4</v>
      </c>
      <c r="B276" s="15" t="s">
        <v>464</v>
      </c>
      <c r="C276" s="15" t="s">
        <v>549</v>
      </c>
      <c r="D276" s="15">
        <v>1411</v>
      </c>
      <c r="E276" s="15">
        <v>1446</v>
      </c>
      <c r="F276" s="15">
        <v>2857</v>
      </c>
    </row>
    <row r="277" spans="1:6" x14ac:dyDescent="0.3">
      <c r="A277" s="15">
        <v>4</v>
      </c>
      <c r="B277" s="15" t="s">
        <v>465</v>
      </c>
      <c r="C277" s="15" t="s">
        <v>550</v>
      </c>
      <c r="D277" s="15">
        <v>954</v>
      </c>
      <c r="E277" s="15">
        <v>910</v>
      </c>
      <c r="F277" s="15">
        <v>1864</v>
      </c>
    </row>
    <row r="278" spans="1:6" x14ac:dyDescent="0.3">
      <c r="A278" s="15">
        <v>4</v>
      </c>
      <c r="B278" s="15" t="s">
        <v>466</v>
      </c>
      <c r="C278" s="15" t="s">
        <v>551</v>
      </c>
      <c r="D278" s="15">
        <v>1093</v>
      </c>
      <c r="E278" s="15">
        <v>1066</v>
      </c>
      <c r="F278" s="15">
        <v>2159</v>
      </c>
    </row>
    <row r="279" spans="1:6" x14ac:dyDescent="0.3">
      <c r="A279" s="15">
        <v>4</v>
      </c>
      <c r="B279" s="15" t="s">
        <v>467</v>
      </c>
      <c r="C279" s="15" t="s">
        <v>248</v>
      </c>
      <c r="D279" s="15">
        <v>1498</v>
      </c>
      <c r="E279" s="15">
        <v>1490</v>
      </c>
      <c r="F279" s="15">
        <v>2988</v>
      </c>
    </row>
    <row r="280" spans="1:6" x14ac:dyDescent="0.3">
      <c r="A280" s="15">
        <v>4</v>
      </c>
      <c r="B280" s="15" t="s">
        <v>468</v>
      </c>
      <c r="C280" s="15" t="s">
        <v>552</v>
      </c>
      <c r="D280" s="15">
        <v>1977</v>
      </c>
      <c r="E280" s="15">
        <v>1811</v>
      </c>
      <c r="F280" s="15">
        <v>3788</v>
      </c>
    </row>
    <row r="281" spans="1:6" x14ac:dyDescent="0.3">
      <c r="A281" s="15">
        <v>4</v>
      </c>
      <c r="B281" s="15" t="s">
        <v>469</v>
      </c>
      <c r="C281" s="15" t="s">
        <v>553</v>
      </c>
      <c r="D281" s="15">
        <v>1484</v>
      </c>
      <c r="E281" s="15">
        <v>1423</v>
      </c>
      <c r="F281" s="15">
        <v>2907</v>
      </c>
    </row>
    <row r="282" spans="1:6" x14ac:dyDescent="0.3">
      <c r="A282" s="15">
        <v>3</v>
      </c>
      <c r="B282" s="15" t="s">
        <v>470</v>
      </c>
      <c r="C282" s="15" t="s">
        <v>554</v>
      </c>
      <c r="D282" s="15">
        <v>12133</v>
      </c>
      <c r="E282" s="15">
        <v>11558</v>
      </c>
      <c r="F282" s="15">
        <v>23691</v>
      </c>
    </row>
    <row r="283" spans="1:6" x14ac:dyDescent="0.3">
      <c r="A283" s="15">
        <v>4</v>
      </c>
      <c r="B283" s="15" t="s">
        <v>471</v>
      </c>
      <c r="C283" s="15" t="s">
        <v>554</v>
      </c>
      <c r="D283" s="15">
        <v>1570</v>
      </c>
      <c r="E283" s="15">
        <v>1517</v>
      </c>
      <c r="F283" s="15">
        <v>3087</v>
      </c>
    </row>
    <row r="284" spans="1:6" x14ac:dyDescent="0.3">
      <c r="A284" s="15">
        <v>4</v>
      </c>
      <c r="B284" s="15" t="s">
        <v>472</v>
      </c>
      <c r="C284" s="15" t="s">
        <v>555</v>
      </c>
      <c r="D284" s="15">
        <v>990</v>
      </c>
      <c r="E284" s="15">
        <v>918</v>
      </c>
      <c r="F284" s="15">
        <v>1908</v>
      </c>
    </row>
    <row r="285" spans="1:6" x14ac:dyDescent="0.3">
      <c r="A285" s="15">
        <v>4</v>
      </c>
      <c r="B285" s="15" t="s">
        <v>473</v>
      </c>
      <c r="C285" s="15" t="s">
        <v>556</v>
      </c>
      <c r="D285" s="15">
        <v>1547</v>
      </c>
      <c r="E285" s="15">
        <v>1458</v>
      </c>
      <c r="F285" s="15">
        <v>3005</v>
      </c>
    </row>
    <row r="286" spans="1:6" x14ac:dyDescent="0.3">
      <c r="A286" s="15">
        <v>4</v>
      </c>
      <c r="B286" s="15" t="s">
        <v>474</v>
      </c>
      <c r="C286" s="15" t="s">
        <v>557</v>
      </c>
      <c r="D286" s="15">
        <v>1176</v>
      </c>
      <c r="E286" s="15">
        <v>1151</v>
      </c>
      <c r="F286" s="15">
        <v>2327</v>
      </c>
    </row>
    <row r="287" spans="1:6" x14ac:dyDescent="0.3">
      <c r="A287" s="15">
        <v>4</v>
      </c>
      <c r="B287" s="15" t="s">
        <v>475</v>
      </c>
      <c r="C287" s="15" t="s">
        <v>558</v>
      </c>
      <c r="D287" s="15">
        <v>2446</v>
      </c>
      <c r="E287" s="15">
        <v>2355</v>
      </c>
      <c r="F287" s="15">
        <v>4801</v>
      </c>
    </row>
    <row r="288" spans="1:6" x14ac:dyDescent="0.3">
      <c r="A288" s="15">
        <v>4</v>
      </c>
      <c r="B288" s="15" t="s">
        <v>476</v>
      </c>
      <c r="C288" s="15" t="s">
        <v>559</v>
      </c>
      <c r="D288" s="15">
        <v>1652</v>
      </c>
      <c r="E288" s="15">
        <v>1600</v>
      </c>
      <c r="F288" s="15">
        <v>3252</v>
      </c>
    </row>
    <row r="289" spans="1:6" x14ac:dyDescent="0.3">
      <c r="A289" s="15">
        <v>4</v>
      </c>
      <c r="B289" s="15" t="s">
        <v>477</v>
      </c>
      <c r="C289" s="15" t="s">
        <v>293</v>
      </c>
      <c r="D289" s="15">
        <v>1328</v>
      </c>
      <c r="E289" s="15">
        <v>1224</v>
      </c>
      <c r="F289" s="15">
        <v>2552</v>
      </c>
    </row>
    <row r="290" spans="1:6" x14ac:dyDescent="0.3">
      <c r="A290" s="15">
        <v>4</v>
      </c>
      <c r="B290" s="15" t="s">
        <v>478</v>
      </c>
      <c r="C290" s="15" t="s">
        <v>337</v>
      </c>
      <c r="D290" s="15">
        <v>1424</v>
      </c>
      <c r="E290" s="15">
        <v>1335</v>
      </c>
      <c r="F290" s="15">
        <v>2759</v>
      </c>
    </row>
    <row r="291" spans="1:6" x14ac:dyDescent="0.3">
      <c r="A291" s="15">
        <v>3</v>
      </c>
      <c r="B291" s="15" t="s">
        <v>479</v>
      </c>
      <c r="C291" s="15" t="s">
        <v>560</v>
      </c>
      <c r="D291" s="15">
        <v>22758</v>
      </c>
      <c r="E291" s="15">
        <v>21629</v>
      </c>
      <c r="F291" s="15">
        <v>44387</v>
      </c>
    </row>
    <row r="292" spans="1:6" x14ac:dyDescent="0.3">
      <c r="A292" s="15">
        <v>4</v>
      </c>
      <c r="B292" s="15" t="s">
        <v>480</v>
      </c>
      <c r="C292" s="15" t="s">
        <v>560</v>
      </c>
      <c r="D292" s="15">
        <v>3450</v>
      </c>
      <c r="E292" s="15">
        <v>3284</v>
      </c>
      <c r="F292" s="15">
        <v>6734</v>
      </c>
    </row>
    <row r="293" spans="1:6" x14ac:dyDescent="0.3">
      <c r="A293" s="15">
        <v>4</v>
      </c>
      <c r="B293" s="15" t="s">
        <v>481</v>
      </c>
      <c r="C293" s="15" t="s">
        <v>561</v>
      </c>
      <c r="D293" s="15">
        <v>1710</v>
      </c>
      <c r="E293" s="15">
        <v>1629</v>
      </c>
      <c r="F293" s="15">
        <v>3339</v>
      </c>
    </row>
    <row r="294" spans="1:6" x14ac:dyDescent="0.3">
      <c r="A294" s="15">
        <v>4</v>
      </c>
      <c r="B294" s="15" t="s">
        <v>482</v>
      </c>
      <c r="C294" s="15" t="s">
        <v>562</v>
      </c>
      <c r="D294" s="15">
        <v>2997</v>
      </c>
      <c r="E294" s="15">
        <v>2747</v>
      </c>
      <c r="F294" s="15">
        <v>5744</v>
      </c>
    </row>
    <row r="295" spans="1:6" x14ac:dyDescent="0.3">
      <c r="A295" s="15">
        <v>4</v>
      </c>
      <c r="B295" s="15" t="s">
        <v>483</v>
      </c>
      <c r="C295" s="15" t="s">
        <v>563</v>
      </c>
      <c r="D295" s="15">
        <v>3271</v>
      </c>
      <c r="E295" s="15">
        <v>3072</v>
      </c>
      <c r="F295" s="15">
        <v>6343</v>
      </c>
    </row>
    <row r="296" spans="1:6" x14ac:dyDescent="0.3">
      <c r="A296" s="15">
        <v>4</v>
      </c>
      <c r="B296" s="15" t="s">
        <v>484</v>
      </c>
      <c r="C296" s="15" t="s">
        <v>564</v>
      </c>
      <c r="D296" s="15">
        <v>2405</v>
      </c>
      <c r="E296" s="15">
        <v>2337</v>
      </c>
      <c r="F296" s="15">
        <v>4742</v>
      </c>
    </row>
    <row r="297" spans="1:6" x14ac:dyDescent="0.3">
      <c r="A297" s="15">
        <v>4</v>
      </c>
      <c r="B297" s="15" t="s">
        <v>485</v>
      </c>
      <c r="C297" s="15" t="s">
        <v>565</v>
      </c>
      <c r="D297" s="15">
        <v>1823</v>
      </c>
      <c r="E297" s="15">
        <v>1726</v>
      </c>
      <c r="F297" s="15">
        <v>3549</v>
      </c>
    </row>
    <row r="298" spans="1:6" x14ac:dyDescent="0.3">
      <c r="A298" s="15">
        <v>4</v>
      </c>
      <c r="B298" s="15" t="s">
        <v>486</v>
      </c>
      <c r="C298" s="15" t="s">
        <v>566</v>
      </c>
      <c r="D298" s="15">
        <v>1562</v>
      </c>
      <c r="E298" s="15">
        <v>1462</v>
      </c>
      <c r="F298" s="15">
        <v>3024</v>
      </c>
    </row>
    <row r="299" spans="1:6" x14ac:dyDescent="0.3">
      <c r="A299" s="15">
        <v>4</v>
      </c>
      <c r="B299" s="15" t="s">
        <v>487</v>
      </c>
      <c r="C299" s="15" t="s">
        <v>567</v>
      </c>
      <c r="D299" s="15">
        <v>2577</v>
      </c>
      <c r="E299" s="15">
        <v>2540</v>
      </c>
      <c r="F299" s="15">
        <v>5117</v>
      </c>
    </row>
    <row r="300" spans="1:6" x14ac:dyDescent="0.3">
      <c r="A300" s="15">
        <v>4</v>
      </c>
      <c r="B300" s="15" t="s">
        <v>488</v>
      </c>
      <c r="C300" s="15" t="s">
        <v>568</v>
      </c>
      <c r="D300" s="15">
        <v>2963</v>
      </c>
      <c r="E300" s="15">
        <v>2832</v>
      </c>
      <c r="F300" s="15">
        <v>5795</v>
      </c>
    </row>
  </sheetData>
  <sheetProtection algorithmName="SHA-512" hashValue="pKgWTimN8dD8kcarKz4zLsx251ebl2xRIhmk7wODhLCUTHWBV6L4Psj+JPPZDYbMUhmUYzE8RJccEpNfp6euFQ==" saltValue="LTxPmb5OGpFQAQZfJyKej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6"/>
  <sheetViews>
    <sheetView workbookViewId="0">
      <selection activeCell="H5" sqref="H5"/>
    </sheetView>
  </sheetViews>
  <sheetFormatPr defaultRowHeight="14.4" x14ac:dyDescent="0.3"/>
  <cols>
    <col min="1" max="1" width="4.5546875" customWidth="1"/>
    <col min="2" max="2" width="6.5546875" customWidth="1"/>
    <col min="3" max="3" width="20.5546875" customWidth="1"/>
    <col min="4" max="4" width="9.6640625" customWidth="1"/>
    <col min="5" max="5" width="8.33203125" style="14" customWidth="1"/>
    <col min="6" max="6" width="9.6640625" customWidth="1"/>
    <col min="7" max="7" width="8.33203125" style="14" customWidth="1"/>
    <col min="8" max="8" width="10.33203125" customWidth="1"/>
    <col min="9" max="9" width="8.33203125" style="14" customWidth="1"/>
  </cols>
  <sheetData>
    <row r="1" spans="1:9" ht="18" x14ac:dyDescent="0.3">
      <c r="A1" s="57" t="s">
        <v>569</v>
      </c>
      <c r="B1" s="57"/>
      <c r="C1" s="57"/>
      <c r="D1" s="57"/>
      <c r="E1" s="57"/>
      <c r="F1" s="57"/>
      <c r="G1" s="57"/>
      <c r="H1" s="57"/>
      <c r="I1" s="57"/>
    </row>
    <row r="2" spans="1:9" x14ac:dyDescent="0.3">
      <c r="A2" s="58" t="s">
        <v>570</v>
      </c>
      <c r="B2" s="59"/>
      <c r="C2" s="59"/>
      <c r="D2" s="59"/>
      <c r="E2" s="59"/>
      <c r="F2" s="59"/>
      <c r="G2" s="59"/>
      <c r="H2" s="59"/>
      <c r="I2" s="60"/>
    </row>
    <row r="3" spans="1:9" x14ac:dyDescent="0.3">
      <c r="A3" s="61" t="s">
        <v>571</v>
      </c>
      <c r="B3" s="63" t="s">
        <v>572</v>
      </c>
      <c r="C3" s="64"/>
      <c r="D3" s="65" t="s">
        <v>573</v>
      </c>
      <c r="E3" s="66"/>
      <c r="F3" s="65" t="s">
        <v>574</v>
      </c>
      <c r="G3" s="66"/>
      <c r="H3" s="67" t="s">
        <v>575</v>
      </c>
      <c r="I3" s="68"/>
    </row>
    <row r="4" spans="1:9" x14ac:dyDescent="0.3">
      <c r="A4" s="62"/>
      <c r="B4" s="3" t="s">
        <v>576</v>
      </c>
      <c r="C4" s="3" t="s">
        <v>577</v>
      </c>
      <c r="D4" s="4" t="s">
        <v>575</v>
      </c>
      <c r="E4" s="5" t="s">
        <v>578</v>
      </c>
      <c r="F4" s="4" t="s">
        <v>575</v>
      </c>
      <c r="G4" s="5" t="s">
        <v>578</v>
      </c>
      <c r="H4" s="6" t="s">
        <v>579</v>
      </c>
      <c r="I4" s="7" t="s">
        <v>578</v>
      </c>
    </row>
    <row r="5" spans="1:9" x14ac:dyDescent="0.3">
      <c r="A5" s="8">
        <v>1</v>
      </c>
      <c r="B5" s="9" t="s">
        <v>3</v>
      </c>
      <c r="C5" s="10" t="s">
        <v>277</v>
      </c>
      <c r="D5" s="1">
        <f>'AGR_JK_3304_KAB. BANJARNEGARA'!D2</f>
        <v>539745</v>
      </c>
      <c r="E5" s="49">
        <f>D5/H5*100</f>
        <v>50.858980568344357</v>
      </c>
      <c r="F5" s="2">
        <f>'AGR_JK_3304_KAB. BANJARNEGARA'!E2</f>
        <v>521513</v>
      </c>
      <c r="G5" s="49">
        <f>F5/H5*100</f>
        <v>49.141019431655643</v>
      </c>
      <c r="H5" s="11">
        <f>D5+F5</f>
        <v>1061258</v>
      </c>
      <c r="I5" s="51">
        <f>H5/H5*100</f>
        <v>100</v>
      </c>
    </row>
    <row r="6" spans="1:9" x14ac:dyDescent="0.3">
      <c r="A6" s="54" t="s">
        <v>580</v>
      </c>
      <c r="B6" s="55"/>
      <c r="C6" s="56"/>
      <c r="D6" s="12">
        <f t="shared" ref="D6:I6" si="0">D5</f>
        <v>539745</v>
      </c>
      <c r="E6" s="50">
        <f t="shared" si="0"/>
        <v>50.858980568344357</v>
      </c>
      <c r="F6" s="12">
        <f t="shared" si="0"/>
        <v>521513</v>
      </c>
      <c r="G6" s="50">
        <f t="shared" si="0"/>
        <v>49.141019431655643</v>
      </c>
      <c r="H6" s="13">
        <f t="shared" si="0"/>
        <v>1061258</v>
      </c>
      <c r="I6" s="52">
        <f t="shared" si="0"/>
        <v>100</v>
      </c>
    </row>
  </sheetData>
  <sheetProtection algorithmName="SHA-512" hashValue="3fFCnqMCOfliN1P6a5Pprebxkg9GJ30Csp20S9pIy1l4VZ6bvgFUZxEttTMkzCo4dQA99fvksjhsoXDK39cl6g==" saltValue="JgZAEsrhGQs+lqDFCe1MYQ==" spinCount="100000" sheet="1" objects="1" scenarios="1"/>
  <mergeCells count="8">
    <mergeCell ref="A6:C6"/>
    <mergeCell ref="A1:I1"/>
    <mergeCell ref="A2:I2"/>
    <mergeCell ref="A3:A4"/>
    <mergeCell ref="B3:C3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D1B8-0995-4E14-95B6-E9531D99A21C}">
  <dimension ref="A1:N26"/>
  <sheetViews>
    <sheetView topLeftCell="A5" workbookViewId="0">
      <selection activeCell="I6" sqref="I6"/>
    </sheetView>
  </sheetViews>
  <sheetFormatPr defaultRowHeight="14.4" x14ac:dyDescent="0.3"/>
  <cols>
    <col min="1" max="1" width="3.44140625" style="16" bestFit="1" customWidth="1"/>
    <col min="2" max="2" width="8.88671875" style="16"/>
    <col min="3" max="3" width="20.109375" style="16" bestFit="1" customWidth="1"/>
    <col min="4" max="7" width="9" style="16" bestFit="1" customWidth="1"/>
    <col min="8" max="8" width="10.109375" style="16" customWidth="1"/>
    <col min="9" max="9" width="9" style="16" bestFit="1" customWidth="1"/>
    <col min="10" max="16384" width="8.88671875" style="16"/>
  </cols>
  <sheetData>
    <row r="1" spans="1:14" x14ac:dyDescent="0.3">
      <c r="A1" s="70" t="s">
        <v>581</v>
      </c>
      <c r="B1" s="70"/>
      <c r="C1" s="70"/>
      <c r="D1" s="70"/>
      <c r="E1" s="70"/>
      <c r="F1" s="70"/>
      <c r="G1" s="70"/>
      <c r="H1" s="70"/>
      <c r="I1" s="70"/>
    </row>
    <row r="2" spans="1:14" x14ac:dyDescent="0.3">
      <c r="A2" s="17"/>
      <c r="B2" s="17"/>
      <c r="C2" s="17"/>
      <c r="D2" s="17"/>
      <c r="E2" s="17"/>
      <c r="F2" s="17"/>
      <c r="G2" s="17"/>
      <c r="H2" s="17"/>
      <c r="I2" s="17"/>
    </row>
    <row r="3" spans="1:14" ht="15" customHeight="1" x14ac:dyDescent="0.3">
      <c r="A3" s="71" t="s">
        <v>582</v>
      </c>
      <c r="B3" s="71"/>
      <c r="C3" s="71"/>
      <c r="D3" s="71"/>
      <c r="E3" s="71"/>
      <c r="F3" s="71"/>
      <c r="G3" s="71"/>
      <c r="H3" s="71"/>
      <c r="I3" s="71"/>
    </row>
    <row r="4" spans="1:14" ht="15" customHeight="1" x14ac:dyDescent="0.3">
      <c r="A4" s="72" t="s">
        <v>571</v>
      </c>
      <c r="B4" s="72" t="s">
        <v>583</v>
      </c>
      <c r="C4" s="72"/>
      <c r="D4" s="73" t="s">
        <v>573</v>
      </c>
      <c r="E4" s="73"/>
      <c r="F4" s="73" t="s">
        <v>574</v>
      </c>
      <c r="G4" s="73"/>
      <c r="H4" s="74" t="s">
        <v>575</v>
      </c>
      <c r="I4" s="74"/>
    </row>
    <row r="5" spans="1:14" ht="15" customHeight="1" x14ac:dyDescent="0.3">
      <c r="A5" s="72"/>
      <c r="B5" s="18" t="s">
        <v>576</v>
      </c>
      <c r="C5" s="18" t="s">
        <v>577</v>
      </c>
      <c r="D5" s="19" t="s">
        <v>575</v>
      </c>
      <c r="E5" s="19" t="s">
        <v>578</v>
      </c>
      <c r="F5" s="19" t="s">
        <v>575</v>
      </c>
      <c r="G5" s="19" t="s">
        <v>578</v>
      </c>
      <c r="H5" s="20" t="s">
        <v>583</v>
      </c>
      <c r="I5" s="20" t="s">
        <v>578</v>
      </c>
    </row>
    <row r="6" spans="1:14" ht="15" customHeight="1" x14ac:dyDescent="0.3">
      <c r="A6" s="21">
        <v>1</v>
      </c>
      <c r="B6" s="21" t="str" cm="1">
        <f t="array" ref="B6:D25">_xlfn._xlws.FILTER('AGR_JK_3304_KAB. BANJARNEGARA'!B3:D300,LEN('AGR_JK_3304_KAB. BANJARNEGARA'!B3:B300)=8)</f>
        <v>33.04.01</v>
      </c>
      <c r="C6" s="16" t="str">
        <v>SUSUKAN</v>
      </c>
      <c r="D6" s="22">
        <v>32943</v>
      </c>
      <c r="E6" s="24" cm="1">
        <f t="array" ref="E6:E25">D6:D25/H$26*100</f>
        <v>3.1041462113830942</v>
      </c>
      <c r="F6" s="22" cm="1">
        <f t="array" ref="F6:F25">_xlfn._xlws.FILTER('AGR_JK_3304_KAB. BANJARNEGARA'!E3:E300,LEN('AGR_JK_3304_KAB. BANJARNEGARA'!B3:B300)=8)</f>
        <v>32364</v>
      </c>
      <c r="G6" s="25" cm="1">
        <f t="array" ref="G6:G25">F6:F25/H$26*100</f>
        <v>3.0495883187688575</v>
      </c>
      <c r="H6" s="26" cm="1">
        <f t="array" ref="H6:H25">_xlfn._xlws.FILTER('AGR_JK_3304_KAB. BANJARNEGARA'!F3:F300,LEN('AGR_JK_3304_KAB. BANJARNEGARA'!B3:B300)=8)</f>
        <v>65307</v>
      </c>
      <c r="I6" s="25" cm="1">
        <f t="array" ref="I6:I25">H6:H25/H$26*100</f>
        <v>6.1537345301519517</v>
      </c>
      <c r="K6" s="27"/>
    </row>
    <row r="7" spans="1:14" ht="15" customHeight="1" x14ac:dyDescent="0.3">
      <c r="A7" s="21">
        <v>2</v>
      </c>
      <c r="B7" s="21" t="str">
        <v>33.04.02</v>
      </c>
      <c r="C7" s="23" t="str">
        <v>PURWOREJA KLAMPOK</v>
      </c>
      <c r="D7" s="22">
        <v>24641</v>
      </c>
      <c r="E7" s="24">
        <v>2.3218670671976089</v>
      </c>
      <c r="F7" s="22">
        <v>24419</v>
      </c>
      <c r="G7" s="25">
        <v>2.300948496972461</v>
      </c>
      <c r="H7" s="26">
        <v>49060</v>
      </c>
      <c r="I7" s="25">
        <v>4.6228155641700699</v>
      </c>
    </row>
    <row r="8" spans="1:14" ht="15" customHeight="1" x14ac:dyDescent="0.3">
      <c r="A8" s="21">
        <v>3</v>
      </c>
      <c r="B8" s="21" t="str">
        <v>33.04.03</v>
      </c>
      <c r="C8" s="23" t="str">
        <v>MANDIRAJA</v>
      </c>
      <c r="D8" s="22">
        <v>41730</v>
      </c>
      <c r="E8" s="24">
        <v>3.9321258355649618</v>
      </c>
      <c r="F8" s="22">
        <v>40835</v>
      </c>
      <c r="G8" s="25">
        <v>3.8477919601077213</v>
      </c>
      <c r="H8" s="26">
        <v>82565</v>
      </c>
      <c r="I8" s="25">
        <v>7.7799177956726835</v>
      </c>
    </row>
    <row r="9" spans="1:14" ht="15" customHeight="1" x14ac:dyDescent="0.3">
      <c r="A9" s="21">
        <v>4</v>
      </c>
      <c r="B9" s="21" t="str">
        <v>33.04.04</v>
      </c>
      <c r="C9" s="23" t="str">
        <v>PURWANEGARA</v>
      </c>
      <c r="D9" s="22">
        <v>43297</v>
      </c>
      <c r="E9" s="24">
        <v>4.0797807884604875</v>
      </c>
      <c r="F9" s="22">
        <v>42632</v>
      </c>
      <c r="G9" s="25">
        <v>4.0171193055788503</v>
      </c>
      <c r="H9" s="26">
        <v>85929</v>
      </c>
      <c r="I9" s="25">
        <v>8.0969000940393379</v>
      </c>
    </row>
    <row r="10" spans="1:14" ht="15" customHeight="1" x14ac:dyDescent="0.3">
      <c r="A10" s="21">
        <v>5</v>
      </c>
      <c r="B10" s="21" t="str">
        <v>33.04.05</v>
      </c>
      <c r="C10" s="23" t="str">
        <v>BAWANG</v>
      </c>
      <c r="D10" s="22">
        <v>33344</v>
      </c>
      <c r="E10" s="24">
        <v>3.1419315566996904</v>
      </c>
      <c r="F10" s="22">
        <v>32685</v>
      </c>
      <c r="G10" s="25">
        <v>3.0798354405808954</v>
      </c>
      <c r="H10" s="26">
        <v>66029</v>
      </c>
      <c r="I10" s="25">
        <v>6.2217669972805858</v>
      </c>
    </row>
    <row r="11" spans="1:14" ht="15" customHeight="1" x14ac:dyDescent="0.3">
      <c r="A11" s="21">
        <v>6</v>
      </c>
      <c r="B11" s="21" t="str">
        <v>33.04.06</v>
      </c>
      <c r="C11" s="23" t="str">
        <v>BANJARNEGARA</v>
      </c>
      <c r="D11" s="22">
        <v>35673</v>
      </c>
      <c r="E11" s="24">
        <v>3.3613880884761289</v>
      </c>
      <c r="F11" s="22">
        <v>35373</v>
      </c>
      <c r="G11" s="25">
        <v>3.3331197503340375</v>
      </c>
      <c r="H11" s="26">
        <v>71046</v>
      </c>
      <c r="I11" s="25">
        <v>6.6945078388101669</v>
      </c>
    </row>
    <row r="12" spans="1:14" ht="15" customHeight="1" x14ac:dyDescent="0.3">
      <c r="A12" s="21">
        <v>7</v>
      </c>
      <c r="B12" s="21" t="str">
        <v>33.04.07</v>
      </c>
      <c r="C12" s="23" t="str">
        <v>SIGALUH</v>
      </c>
      <c r="D12" s="22">
        <v>16560</v>
      </c>
      <c r="E12" s="24">
        <v>1.5604122654434645</v>
      </c>
      <c r="F12" s="22">
        <v>16262</v>
      </c>
      <c r="G12" s="25">
        <v>1.5323323828889865</v>
      </c>
      <c r="H12" s="26">
        <v>32822</v>
      </c>
      <c r="I12" s="25">
        <v>3.0927446483324506</v>
      </c>
    </row>
    <row r="13" spans="1:14" ht="15" customHeight="1" x14ac:dyDescent="0.3">
      <c r="A13" s="21">
        <v>8</v>
      </c>
      <c r="B13" s="21" t="str">
        <v>33.04.08</v>
      </c>
      <c r="C13" s="23" t="str">
        <v>MADUKARA</v>
      </c>
      <c r="D13" s="22">
        <v>23940</v>
      </c>
      <c r="E13" s="24">
        <v>2.2558133837389209</v>
      </c>
      <c r="F13" s="22">
        <v>23071</v>
      </c>
      <c r="G13" s="25">
        <v>2.173929430920662</v>
      </c>
      <c r="H13" s="26">
        <v>47011</v>
      </c>
      <c r="I13" s="25">
        <v>4.4297428146595834</v>
      </c>
    </row>
    <row r="14" spans="1:14" ht="15" customHeight="1" x14ac:dyDescent="0.3">
      <c r="A14" s="21">
        <v>9</v>
      </c>
      <c r="B14" s="21" t="str">
        <v>33.04.09</v>
      </c>
      <c r="C14" s="23" t="str">
        <v>BANJARMANGU</v>
      </c>
      <c r="D14" s="22">
        <v>24303</v>
      </c>
      <c r="E14" s="24">
        <v>2.2900180728908524</v>
      </c>
      <c r="F14" s="22">
        <v>23176</v>
      </c>
      <c r="G14" s="25">
        <v>2.1838233492703942</v>
      </c>
      <c r="H14" s="26">
        <v>47479</v>
      </c>
      <c r="I14" s="25">
        <v>4.4738414221612466</v>
      </c>
    </row>
    <row r="15" spans="1:14" ht="15" customHeight="1" x14ac:dyDescent="0.3">
      <c r="A15" s="21">
        <v>10</v>
      </c>
      <c r="B15" s="21" t="str">
        <v>33.04.10</v>
      </c>
      <c r="C15" s="23" t="str">
        <v>WANADADI</v>
      </c>
      <c r="D15" s="22">
        <v>17867</v>
      </c>
      <c r="E15" s="24">
        <v>1.6835679919491773</v>
      </c>
      <c r="F15" s="22">
        <v>17509</v>
      </c>
      <c r="G15" s="25">
        <v>1.6498344417662811</v>
      </c>
      <c r="H15" s="26">
        <v>35376</v>
      </c>
      <c r="I15" s="25">
        <v>3.3334024337154586</v>
      </c>
      <c r="N15" s="16" t="s">
        <v>610</v>
      </c>
    </row>
    <row r="16" spans="1:14" ht="15" customHeight="1" x14ac:dyDescent="0.3">
      <c r="A16" s="21">
        <v>11</v>
      </c>
      <c r="B16" s="21" t="str">
        <v>33.04.11</v>
      </c>
      <c r="C16" s="23" t="str">
        <v>RAKIT</v>
      </c>
      <c r="D16" s="22">
        <v>28498</v>
      </c>
      <c r="E16" s="24">
        <v>2.6853036679111018</v>
      </c>
      <c r="F16" s="22">
        <v>27910</v>
      </c>
      <c r="G16" s="25">
        <v>2.6298977251526021</v>
      </c>
      <c r="H16" s="26">
        <v>56408</v>
      </c>
      <c r="I16" s="25">
        <v>5.3152013930637034</v>
      </c>
    </row>
    <row r="17" spans="1:11" ht="15" customHeight="1" x14ac:dyDescent="0.3">
      <c r="A17" s="21">
        <v>12</v>
      </c>
      <c r="B17" s="21" t="str">
        <v>33.04.12</v>
      </c>
      <c r="C17" s="23" t="str">
        <v>PUNGGELAN</v>
      </c>
      <c r="D17" s="22">
        <v>47023</v>
      </c>
      <c r="E17" s="24">
        <v>4.430873548185267</v>
      </c>
      <c r="F17" s="22">
        <v>44789</v>
      </c>
      <c r="G17" s="25">
        <v>4.2203686568204901</v>
      </c>
      <c r="H17" s="26">
        <v>91812</v>
      </c>
      <c r="I17" s="25">
        <v>8.651242205005758</v>
      </c>
    </row>
    <row r="18" spans="1:11" ht="15" customHeight="1" x14ac:dyDescent="0.3">
      <c r="A18" s="21">
        <v>13</v>
      </c>
      <c r="B18" s="21" t="str">
        <v>33.04.13</v>
      </c>
      <c r="C18" s="23" t="str">
        <v>KARANGKOBAR</v>
      </c>
      <c r="D18" s="22">
        <v>17008</v>
      </c>
      <c r="E18" s="24">
        <v>1.6026263170689878</v>
      </c>
      <c r="F18" s="22">
        <v>15909</v>
      </c>
      <c r="G18" s="25">
        <v>1.4990699716751252</v>
      </c>
      <c r="H18" s="26">
        <v>32917</v>
      </c>
      <c r="I18" s="25">
        <v>3.1016962887441131</v>
      </c>
    </row>
    <row r="19" spans="1:11" ht="15" customHeight="1" x14ac:dyDescent="0.3">
      <c r="A19" s="21">
        <v>14</v>
      </c>
      <c r="B19" s="21" t="str">
        <v>33.04.14</v>
      </c>
      <c r="C19" s="23" t="str">
        <v>PAGENTAN</v>
      </c>
      <c r="D19" s="22">
        <v>20488</v>
      </c>
      <c r="E19" s="24">
        <v>1.9305390395172521</v>
      </c>
      <c r="F19" s="22">
        <v>19526</v>
      </c>
      <c r="G19" s="25">
        <v>1.8398919018749447</v>
      </c>
      <c r="H19" s="26">
        <v>40014</v>
      </c>
      <c r="I19" s="25">
        <v>3.7704309413921973</v>
      </c>
    </row>
    <row r="20" spans="1:11" ht="15" customHeight="1" x14ac:dyDescent="0.3">
      <c r="A20" s="21">
        <v>15</v>
      </c>
      <c r="B20" s="21" t="str">
        <v>33.04.15</v>
      </c>
      <c r="C20" s="23" t="str">
        <v>PEJAWARAN</v>
      </c>
      <c r="D20" s="22">
        <v>23990</v>
      </c>
      <c r="E20" s="24">
        <v>2.2605247734292697</v>
      </c>
      <c r="F20" s="22">
        <v>22324</v>
      </c>
      <c r="G20" s="25">
        <v>2.1035412689468536</v>
      </c>
      <c r="H20" s="26">
        <v>46314</v>
      </c>
      <c r="I20" s="25">
        <v>4.3640660423761233</v>
      </c>
    </row>
    <row r="21" spans="1:11" ht="15" customHeight="1" x14ac:dyDescent="0.3">
      <c r="A21" s="21">
        <v>16</v>
      </c>
      <c r="B21" s="21" t="str">
        <v>33.04.16</v>
      </c>
      <c r="C21" s="23" t="str">
        <v>BATUR</v>
      </c>
      <c r="D21" s="22">
        <v>21980</v>
      </c>
      <c r="E21" s="24">
        <v>2.0711269078772552</v>
      </c>
      <c r="F21" s="22">
        <v>20702</v>
      </c>
      <c r="G21" s="25">
        <v>1.9507037873919442</v>
      </c>
      <c r="H21" s="26">
        <v>42682</v>
      </c>
      <c r="I21" s="25">
        <v>4.0218306952692</v>
      </c>
    </row>
    <row r="22" spans="1:11" ht="15" customHeight="1" x14ac:dyDescent="0.3">
      <c r="A22" s="21">
        <v>17</v>
      </c>
      <c r="B22" s="21" t="str">
        <v>33.04.17</v>
      </c>
      <c r="C22" s="23" t="str">
        <v>WANAYASA</v>
      </c>
      <c r="D22" s="22">
        <v>26773</v>
      </c>
      <c r="E22" s="24">
        <v>2.5227607235940743</v>
      </c>
      <c r="F22" s="22">
        <v>25098</v>
      </c>
      <c r="G22" s="25">
        <v>2.3649291689673952</v>
      </c>
      <c r="H22" s="26">
        <v>51871</v>
      </c>
      <c r="I22" s="25">
        <v>4.88768989256147</v>
      </c>
    </row>
    <row r="23" spans="1:11" ht="15" customHeight="1" x14ac:dyDescent="0.3">
      <c r="A23" s="21">
        <v>18</v>
      </c>
      <c r="B23" s="21" t="str">
        <v>33.04.18</v>
      </c>
      <c r="C23" s="23" t="str">
        <v>KALIBENING</v>
      </c>
      <c r="D23" s="22">
        <v>24796</v>
      </c>
      <c r="E23" s="24">
        <v>2.3364723752376899</v>
      </c>
      <c r="F23" s="22">
        <v>23742</v>
      </c>
      <c r="G23" s="25">
        <v>2.2371562805651406</v>
      </c>
      <c r="H23" s="26">
        <v>48538</v>
      </c>
      <c r="I23" s="25">
        <v>4.5736286558028301</v>
      </c>
    </row>
    <row r="24" spans="1:11" ht="15" customHeight="1" x14ac:dyDescent="0.3">
      <c r="A24" s="21">
        <v>19</v>
      </c>
      <c r="B24" s="21" t="str">
        <v>33.04.19</v>
      </c>
      <c r="C24" s="23" t="str">
        <v>PANDANARUM</v>
      </c>
      <c r="D24" s="22">
        <v>12133</v>
      </c>
      <c r="E24" s="24">
        <v>1.1432658222599972</v>
      </c>
      <c r="F24" s="22">
        <v>11558</v>
      </c>
      <c r="G24" s="25">
        <v>1.0890848408209879</v>
      </c>
      <c r="H24" s="26">
        <v>23691</v>
      </c>
      <c r="I24" s="25">
        <v>2.2323506630809851</v>
      </c>
    </row>
    <row r="25" spans="1:11" ht="15" customHeight="1" x14ac:dyDescent="0.3">
      <c r="A25" s="21">
        <v>20</v>
      </c>
      <c r="B25" s="21" t="str">
        <v>33.04.20</v>
      </c>
      <c r="C25" s="23" t="str">
        <v>PAGEDONGAN</v>
      </c>
      <c r="D25" s="22">
        <v>22758</v>
      </c>
      <c r="E25" s="24">
        <v>2.1444361314590799</v>
      </c>
      <c r="F25" s="22">
        <v>21629</v>
      </c>
      <c r="G25" s="25">
        <v>2.0380529522510078</v>
      </c>
      <c r="H25" s="26">
        <v>44387</v>
      </c>
      <c r="I25" s="25">
        <v>4.1824890837100872</v>
      </c>
    </row>
    <row r="26" spans="1:11" ht="15" customHeight="1" x14ac:dyDescent="0.3">
      <c r="A26" s="69" t="s">
        <v>580</v>
      </c>
      <c r="B26" s="69"/>
      <c r="C26" s="69"/>
      <c r="D26" s="28">
        <f>SUM(D6:D25)</f>
        <v>539745</v>
      </c>
      <c r="E26" s="29">
        <f>D26/$H$26*100</f>
        <v>50.858980568344357</v>
      </c>
      <c r="F26" s="28">
        <f>SUM(F6:F25)</f>
        <v>521513</v>
      </c>
      <c r="G26" s="29">
        <f>F26/$H$26*100</f>
        <v>49.141019431655643</v>
      </c>
      <c r="H26" s="30">
        <f>SUM(H6:H25)</f>
        <v>1061258</v>
      </c>
      <c r="I26" s="31">
        <f>(D26+F26)/H26*100</f>
        <v>100</v>
      </c>
      <c r="K26" s="27"/>
    </row>
  </sheetData>
  <sheetProtection algorithmName="SHA-512" hashValue="2v4adbdXME26sQFm/udWZuQAlJXkHA9J9Omru3vHCFveyIZIc60jmeleGzn3OEmik6hu6IHPGfKxuzLd3W1Vzw==" saltValue="6vv7aXGTTllmuQ6vLpVDzg==" spinCount="100000" sheet="1" objects="1" scenarios="1"/>
  <mergeCells count="8">
    <mergeCell ref="A26:C26"/>
    <mergeCell ref="A1:I1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C505-B657-4C4A-A8E8-1545E3ABDFD8}">
  <dimension ref="A1:K361"/>
  <sheetViews>
    <sheetView topLeftCell="A341" workbookViewId="0">
      <selection activeCell="K359" sqref="K359"/>
    </sheetView>
  </sheetViews>
  <sheetFormatPr defaultRowHeight="14.4" x14ac:dyDescent="0.3"/>
  <cols>
    <col min="1" max="1" width="4.44140625" style="16" customWidth="1"/>
    <col min="2" max="2" width="8.88671875" style="16"/>
    <col min="3" max="3" width="19" style="16" bestFit="1" customWidth="1"/>
    <col min="4" max="16384" width="8.88671875" style="16"/>
  </cols>
  <sheetData>
    <row r="1" spans="1:9" x14ac:dyDescent="0.3">
      <c r="A1" s="70" t="s">
        <v>584</v>
      </c>
      <c r="B1" s="70"/>
      <c r="C1" s="70"/>
      <c r="D1" s="70"/>
      <c r="E1" s="70"/>
      <c r="F1" s="70"/>
      <c r="G1" s="70"/>
      <c r="H1" s="70"/>
      <c r="I1" s="70"/>
    </row>
    <row r="3" spans="1:9" ht="15" customHeight="1" x14ac:dyDescent="0.3">
      <c r="A3" s="75" t="s">
        <v>585</v>
      </c>
      <c r="B3" s="75"/>
      <c r="C3" s="75"/>
      <c r="D3" s="75"/>
      <c r="E3" s="75"/>
      <c r="F3" s="75"/>
      <c r="G3" s="75"/>
      <c r="H3" s="75"/>
      <c r="I3" s="75"/>
    </row>
    <row r="4" spans="1:9" ht="15" customHeight="1" x14ac:dyDescent="0.3">
      <c r="A4" s="76" t="s">
        <v>571</v>
      </c>
      <c r="B4" s="76" t="s">
        <v>586</v>
      </c>
      <c r="C4" s="76"/>
      <c r="D4" s="77" t="s">
        <v>573</v>
      </c>
      <c r="E4" s="77"/>
      <c r="F4" s="77" t="s">
        <v>574</v>
      </c>
      <c r="G4" s="77"/>
      <c r="H4" s="78" t="s">
        <v>575</v>
      </c>
      <c r="I4" s="78"/>
    </row>
    <row r="5" spans="1:9" ht="15" customHeight="1" x14ac:dyDescent="0.3">
      <c r="A5" s="76"/>
      <c r="B5" s="32" t="s">
        <v>576</v>
      </c>
      <c r="C5" s="32" t="s">
        <v>577</v>
      </c>
      <c r="D5" s="33" t="s">
        <v>575</v>
      </c>
      <c r="E5" s="33" t="s">
        <v>578</v>
      </c>
      <c r="F5" s="33" t="s">
        <v>575</v>
      </c>
      <c r="G5" s="33" t="s">
        <v>578</v>
      </c>
      <c r="H5" s="34" t="s">
        <v>587</v>
      </c>
      <c r="I5" s="34" t="s">
        <v>578</v>
      </c>
    </row>
    <row r="6" spans="1:9" ht="15" customHeight="1" x14ac:dyDescent="0.3">
      <c r="A6" s="35">
        <v>1</v>
      </c>
      <c r="B6" s="35" t="str" cm="1">
        <f t="array" ref="B6:B20">RIGHT(_xlfn._xlws.FILTER('AGR_JK_3304_KAB. BANJARNEGARA'!$B$3:$B$300,(LEN('AGR_JK_3304_KAB. BANJARNEGARA'!$B$3:$B$300)=13)*(LEFT('AGR_JK_3304_KAB. BANJARNEGARA'!$B$3:$B$300,8)=MID(A3,13,8))),4)</f>
        <v>2001</v>
      </c>
      <c r="C6" s="36" t="str" cm="1">
        <f t="array" ref="C6:D20">_xlfn._xlws.FILTER('AGR_JK_3304_KAB. BANJARNEGARA'!$C$3:$D$300,(LEN('AGR_JK_3304_KAB. BANJARNEGARA'!$B$3:$B$300)=13)*(LEFT('AGR_JK_3304_KAB. BANJARNEGARA'!$B$3:$B$300,8)=MID(A3,13,8)))</f>
        <v>BERTA</v>
      </c>
      <c r="D6" s="22">
        <v>2055</v>
      </c>
      <c r="E6" s="25" cm="1">
        <f t="array" ref="E6:E20">D6:D20/$H$21*100</f>
        <v>3.1466764665349811</v>
      </c>
      <c r="F6" s="22" cm="1">
        <f t="array" ref="F6:F20">_xlfn._xlws.FILTER('AGR_JK_3304_KAB. BANJARNEGARA'!$E$3:$E$300,(LEN('AGR_JK_3304_KAB. BANJARNEGARA'!$B$3:$B$300)=13)*(LEFT('AGR_JK_3304_KAB. BANJARNEGARA'!$B$3:$B$300,8)=MID(A3,13,8)))</f>
        <v>1961</v>
      </c>
      <c r="G6" s="25" cm="1">
        <f t="array" ref="G6:G20">F6:F20/$H$21*100</f>
        <v>3.002740900669147</v>
      </c>
      <c r="H6" s="26" cm="1">
        <f t="array" ref="H6:H20">_xlfn._xlws.FILTER('AGR_JK_3304_KAB. BANJARNEGARA'!$F$3:$F$300,(LEN('AGR_JK_3304_KAB. BANJARNEGARA'!$B$3:$B$300)=13)*(LEFT('AGR_JK_3304_KAB. BANJARNEGARA'!$B$3:$B$300,8)=MID(A3,13,8)))</f>
        <v>4016</v>
      </c>
      <c r="I6" s="25" cm="1">
        <f t="array" ref="I6:I20">H6:H20/$H$21*100</f>
        <v>6.1494173672041281</v>
      </c>
    </row>
    <row r="7" spans="1:9" ht="15" customHeight="1" x14ac:dyDescent="0.3">
      <c r="A7" s="35">
        <v>2</v>
      </c>
      <c r="B7" s="35" t="str">
        <v>2002</v>
      </c>
      <c r="C7" s="36" t="str">
        <v>DERIK</v>
      </c>
      <c r="D7" s="22">
        <v>2140</v>
      </c>
      <c r="E7" s="25">
        <v>3.2768309675838729</v>
      </c>
      <c r="F7" s="22">
        <v>2124</v>
      </c>
      <c r="G7" s="25">
        <v>3.2523312967981992</v>
      </c>
      <c r="H7" s="26">
        <v>4264</v>
      </c>
      <c r="I7" s="25">
        <v>6.529162264382073</v>
      </c>
    </row>
    <row r="8" spans="1:9" ht="15" customHeight="1" x14ac:dyDescent="0.3">
      <c r="A8" s="35">
        <v>3</v>
      </c>
      <c r="B8" s="35" t="str">
        <v>2003</v>
      </c>
      <c r="C8" s="37" t="str">
        <v>GUMELEM WETAN</v>
      </c>
      <c r="D8" s="22">
        <v>5459</v>
      </c>
      <c r="E8" s="25">
        <v>8.3589814261870856</v>
      </c>
      <c r="F8" s="22">
        <v>5274</v>
      </c>
      <c r="G8" s="25">
        <v>8.075703982727731</v>
      </c>
      <c r="H8" s="26">
        <v>10733</v>
      </c>
      <c r="I8" s="25">
        <v>16.434685408914817</v>
      </c>
    </row>
    <row r="9" spans="1:9" ht="15" customHeight="1" x14ac:dyDescent="0.3">
      <c r="A9" s="35">
        <v>4</v>
      </c>
      <c r="B9" s="35" t="str">
        <v>2004</v>
      </c>
      <c r="C9" s="36" t="str">
        <v>GUMELEM KULON</v>
      </c>
      <c r="D9" s="22">
        <v>5478</v>
      </c>
      <c r="E9" s="25">
        <v>8.3880747852450721</v>
      </c>
      <c r="F9" s="22">
        <v>5358</v>
      </c>
      <c r="G9" s="25">
        <v>8.2043272543525205</v>
      </c>
      <c r="H9" s="26">
        <v>10836</v>
      </c>
      <c r="I9" s="25">
        <v>16.592402039597591</v>
      </c>
    </row>
    <row r="10" spans="1:9" ht="15" customHeight="1" x14ac:dyDescent="0.3">
      <c r="A10" s="35">
        <v>5</v>
      </c>
      <c r="B10" s="35" t="str">
        <v>2005</v>
      </c>
      <c r="C10" s="37" t="str">
        <v>PENARUSAN WETAN</v>
      </c>
      <c r="D10" s="22">
        <v>1489</v>
      </c>
      <c r="E10" s="25">
        <v>2.2800006124917696</v>
      </c>
      <c r="F10" s="22">
        <v>1455</v>
      </c>
      <c r="G10" s="25">
        <v>2.2279388120722126</v>
      </c>
      <c r="H10" s="26">
        <v>2944</v>
      </c>
      <c r="I10" s="25">
        <v>4.5079394245639826</v>
      </c>
    </row>
    <row r="11" spans="1:9" ht="15" customHeight="1" x14ac:dyDescent="0.3">
      <c r="A11" s="35">
        <v>6</v>
      </c>
      <c r="B11" s="35" t="str">
        <v>2006</v>
      </c>
      <c r="C11" s="37" t="str">
        <v>PENARUSAN KULON</v>
      </c>
      <c r="D11" s="22">
        <v>1330</v>
      </c>
      <c r="E11" s="25">
        <v>2.036535134059136</v>
      </c>
      <c r="F11" s="22">
        <v>1344</v>
      </c>
      <c r="G11" s="25">
        <v>2.0579723459966006</v>
      </c>
      <c r="H11" s="26">
        <v>2674</v>
      </c>
      <c r="I11" s="25">
        <v>4.0945074800557366</v>
      </c>
    </row>
    <row r="12" spans="1:9" ht="15" customHeight="1" x14ac:dyDescent="0.3">
      <c r="A12" s="35">
        <v>7</v>
      </c>
      <c r="B12" s="35" t="str">
        <v>2007</v>
      </c>
      <c r="C12" s="36" t="str">
        <v>BRENGKOK</v>
      </c>
      <c r="D12" s="22">
        <v>1479</v>
      </c>
      <c r="E12" s="25">
        <v>2.2646883182507236</v>
      </c>
      <c r="F12" s="22">
        <v>1409</v>
      </c>
      <c r="G12" s="25">
        <v>2.1575022585634005</v>
      </c>
      <c r="H12" s="26">
        <v>2888</v>
      </c>
      <c r="I12" s="25">
        <v>4.4221905768141241</v>
      </c>
    </row>
    <row r="13" spans="1:9" ht="15" customHeight="1" x14ac:dyDescent="0.3">
      <c r="A13" s="35">
        <v>8</v>
      </c>
      <c r="B13" s="35" t="str">
        <v>2008</v>
      </c>
      <c r="C13" s="36" t="str">
        <v>PEKIKIRAN</v>
      </c>
      <c r="D13" s="22">
        <v>1459</v>
      </c>
      <c r="E13" s="25">
        <v>2.2340637297686312</v>
      </c>
      <c r="F13" s="22">
        <v>1398</v>
      </c>
      <c r="G13" s="25">
        <v>2.1406587348982495</v>
      </c>
      <c r="H13" s="26">
        <v>2857</v>
      </c>
      <c r="I13" s="25">
        <v>4.3747224646668812</v>
      </c>
    </row>
    <row r="14" spans="1:9" ht="15" customHeight="1" x14ac:dyDescent="0.3">
      <c r="A14" s="35">
        <v>9</v>
      </c>
      <c r="B14" s="35" t="str">
        <v>2009</v>
      </c>
      <c r="C14" s="36" t="str">
        <v>PIASA WETAN</v>
      </c>
      <c r="D14" s="38">
        <v>650</v>
      </c>
      <c r="E14" s="25">
        <v>0.99529912566799872</v>
      </c>
      <c r="F14" s="38">
        <v>672</v>
      </c>
      <c r="G14" s="25">
        <v>1.0289861729983003</v>
      </c>
      <c r="H14" s="26">
        <v>1322</v>
      </c>
      <c r="I14" s="25">
        <v>2.0242852986662991</v>
      </c>
    </row>
    <row r="15" spans="1:9" ht="15" customHeight="1" x14ac:dyDescent="0.3">
      <c r="A15" s="35">
        <v>10</v>
      </c>
      <c r="B15" s="35" t="str">
        <v>2010</v>
      </c>
      <c r="C15" s="36" t="str">
        <v>KARANGSALAM</v>
      </c>
      <c r="D15" s="22">
        <v>1400</v>
      </c>
      <c r="E15" s="25">
        <v>2.1437211937464591</v>
      </c>
      <c r="F15" s="22">
        <v>1471</v>
      </c>
      <c r="G15" s="25">
        <v>2.2524384828578867</v>
      </c>
      <c r="H15" s="26">
        <v>2871</v>
      </c>
      <c r="I15" s="25">
        <v>4.3961596766043458</v>
      </c>
    </row>
    <row r="16" spans="1:9" ht="15" customHeight="1" x14ac:dyDescent="0.3">
      <c r="A16" s="35">
        <v>11</v>
      </c>
      <c r="B16" s="35" t="str">
        <v>2011</v>
      </c>
      <c r="C16" s="36" t="str">
        <v>KEMRANGGON</v>
      </c>
      <c r="D16" s="22">
        <v>1780</v>
      </c>
      <c r="E16" s="25">
        <v>2.7255883749062124</v>
      </c>
      <c r="F16" s="22">
        <v>1785</v>
      </c>
      <c r="G16" s="25">
        <v>2.7332445220267352</v>
      </c>
      <c r="H16" s="26">
        <v>3565</v>
      </c>
      <c r="I16" s="25">
        <v>5.4588328969329476</v>
      </c>
    </row>
    <row r="17" spans="1:9" ht="15" customHeight="1" x14ac:dyDescent="0.3">
      <c r="A17" s="35">
        <v>12</v>
      </c>
      <c r="B17" s="35" t="str">
        <v>2012</v>
      </c>
      <c r="C17" s="36" t="str">
        <v>SUSUKAN</v>
      </c>
      <c r="D17" s="22">
        <v>2061</v>
      </c>
      <c r="E17" s="25">
        <v>3.1558638430796084</v>
      </c>
      <c r="F17" s="22">
        <v>1957</v>
      </c>
      <c r="G17" s="25">
        <v>2.9966159829727288</v>
      </c>
      <c r="H17" s="26">
        <v>4018</v>
      </c>
      <c r="I17" s="25">
        <v>6.1524798260523372</v>
      </c>
    </row>
    <row r="18" spans="1:9" ht="15" customHeight="1" x14ac:dyDescent="0.3">
      <c r="A18" s="35">
        <v>13</v>
      </c>
      <c r="B18" s="35" t="str">
        <v>2013</v>
      </c>
      <c r="C18" s="36" t="str">
        <v>DERMASARI</v>
      </c>
      <c r="D18" s="22">
        <v>1497</v>
      </c>
      <c r="E18" s="25">
        <v>2.2922504478846069</v>
      </c>
      <c r="F18" s="22">
        <v>1514</v>
      </c>
      <c r="G18" s="25">
        <v>2.3182813480943851</v>
      </c>
      <c r="H18" s="26">
        <v>3011</v>
      </c>
      <c r="I18" s="25">
        <v>4.6105317959789911</v>
      </c>
    </row>
    <row r="19" spans="1:9" ht="15" customHeight="1" x14ac:dyDescent="0.3">
      <c r="A19" s="35">
        <v>14</v>
      </c>
      <c r="B19" s="35" t="str">
        <v>2014</v>
      </c>
      <c r="C19" s="36" t="str">
        <v>KEDAWUNG</v>
      </c>
      <c r="D19" s="22">
        <v>2226</v>
      </c>
      <c r="E19" s="25">
        <v>3.4085166980568697</v>
      </c>
      <c r="F19" s="22">
        <v>2208</v>
      </c>
      <c r="G19" s="25">
        <v>3.3809545684229869</v>
      </c>
      <c r="H19" s="26">
        <v>4434</v>
      </c>
      <c r="I19" s="25">
        <v>6.7894712664798575</v>
      </c>
    </row>
    <row r="20" spans="1:9" ht="15" customHeight="1" x14ac:dyDescent="0.3">
      <c r="A20" s="35">
        <v>15</v>
      </c>
      <c r="B20" s="35" t="str">
        <v>2015</v>
      </c>
      <c r="C20" s="36" t="str">
        <v>KARANGJATI</v>
      </c>
      <c r="D20" s="22">
        <v>2440</v>
      </c>
      <c r="E20" s="25">
        <v>3.7361997948152572</v>
      </c>
      <c r="F20" s="22">
        <v>2434</v>
      </c>
      <c r="G20" s="25">
        <v>3.7270124182706295</v>
      </c>
      <c r="H20" s="26">
        <v>4874</v>
      </c>
      <c r="I20" s="25">
        <v>7.4632122130858862</v>
      </c>
    </row>
    <row r="21" spans="1:9" ht="15" customHeight="1" x14ac:dyDescent="0.3">
      <c r="A21" s="79" t="s">
        <v>575</v>
      </c>
      <c r="B21" s="79"/>
      <c r="C21" s="79"/>
      <c r="D21" s="39">
        <f>SUM(D6:D20)</f>
        <v>32943</v>
      </c>
      <c r="E21" s="40">
        <f>D21/$H$21*100</f>
        <v>50.443290918278279</v>
      </c>
      <c r="F21" s="39">
        <f>SUM(F6:F20)</f>
        <v>32364</v>
      </c>
      <c r="G21" s="40">
        <f>F21/$H$21*100</f>
        <v>49.556709081721721</v>
      </c>
      <c r="H21" s="39">
        <f>SUM(H6:H20)</f>
        <v>65307</v>
      </c>
      <c r="I21" s="40">
        <f>H21/$H$21*100</f>
        <v>100</v>
      </c>
    </row>
    <row r="22" spans="1:9" ht="15" customHeight="1" x14ac:dyDescent="0.3">
      <c r="A22" s="75" t="s">
        <v>588</v>
      </c>
      <c r="B22" s="75"/>
      <c r="C22" s="75"/>
      <c r="D22" s="75"/>
      <c r="E22" s="75"/>
      <c r="F22" s="75"/>
      <c r="G22" s="75"/>
      <c r="H22" s="75"/>
      <c r="I22" s="75"/>
    </row>
    <row r="23" spans="1:9" ht="15" customHeight="1" x14ac:dyDescent="0.3">
      <c r="A23" s="76" t="s">
        <v>571</v>
      </c>
      <c r="B23" s="76" t="s">
        <v>586</v>
      </c>
      <c r="C23" s="76"/>
      <c r="D23" s="77" t="s">
        <v>573</v>
      </c>
      <c r="E23" s="77"/>
      <c r="F23" s="77" t="s">
        <v>574</v>
      </c>
      <c r="G23" s="77"/>
      <c r="H23" s="78" t="s">
        <v>575</v>
      </c>
      <c r="I23" s="78"/>
    </row>
    <row r="24" spans="1:9" ht="15" customHeight="1" x14ac:dyDescent="0.3">
      <c r="A24" s="76"/>
      <c r="B24" s="32" t="s">
        <v>576</v>
      </c>
      <c r="C24" s="32" t="s">
        <v>577</v>
      </c>
      <c r="D24" s="33" t="s">
        <v>575</v>
      </c>
      <c r="E24" s="33" t="s">
        <v>578</v>
      </c>
      <c r="F24" s="33" t="s">
        <v>575</v>
      </c>
      <c r="G24" s="33" t="s">
        <v>578</v>
      </c>
      <c r="H24" s="34" t="s">
        <v>587</v>
      </c>
      <c r="I24" s="34" t="s">
        <v>578</v>
      </c>
    </row>
    <row r="25" spans="1:9" ht="15" customHeight="1" x14ac:dyDescent="0.3">
      <c r="A25" s="35">
        <v>16</v>
      </c>
      <c r="B25" s="35" t="str" cm="1">
        <f t="array" ref="B25:B32">RIGHT(_xlfn._xlws.FILTER('AGR_JK_3304_KAB. BANJARNEGARA'!$B$3:$B$300,(LEN('AGR_JK_3304_KAB. BANJARNEGARA'!$B$3:$B$300)=13)*(LEFT('AGR_JK_3304_KAB. BANJARNEGARA'!$B$3:$B$300,8)=MID(A22,13,8))),4)</f>
        <v>2001</v>
      </c>
      <c r="C25" s="36" t="str" cm="1">
        <f t="array" ref="C25:D32">_xlfn._xlws.FILTER('AGR_JK_3304_KAB. BANJARNEGARA'!$C$3:$D$300,(LEN('AGR_JK_3304_KAB. BANJARNEGARA'!$B$3:$B$300)=13)*(LEFT('AGR_JK_3304_KAB. BANJARNEGARA'!$B$3:$B$300,8)=MID(A22,13,8)))</f>
        <v>SIRKANDI</v>
      </c>
      <c r="D25" s="22">
        <v>3888</v>
      </c>
      <c r="E25" s="25" cm="1">
        <f t="array" ref="E25:E32">D25:D32/$H$33*100</f>
        <v>7.9249898083978794</v>
      </c>
      <c r="F25" s="22" cm="1">
        <f t="array" ref="F25:F32">_xlfn._xlws.FILTER('AGR_JK_3304_KAB. BANJARNEGARA'!$E$3:$E$300,(LEN('AGR_JK_3304_KAB. BANJARNEGARA'!$B$3:$B$300)=13)*(LEFT('AGR_JK_3304_KAB. BANJARNEGARA'!$B$3:$B$300,8)=MID(A22,13,8)))</f>
        <v>3871</v>
      </c>
      <c r="G25" s="25" cm="1">
        <f t="array" ref="G25:G32">F25:F32/$H$33*100</f>
        <v>7.8903383611903788</v>
      </c>
      <c r="H25" s="26" cm="1">
        <f t="array" ref="H25:H32">_xlfn._xlws.FILTER('AGR_JK_3304_KAB. BANJARNEGARA'!$F$3:$F$300,(LEN('AGR_JK_3304_KAB. BANJARNEGARA'!$B$3:$B$300)=13)*(LEFT('AGR_JK_3304_KAB. BANJARNEGARA'!$B$3:$B$300,8)=MID(A22,13,8)))</f>
        <v>7759</v>
      </c>
      <c r="I25" s="25" cm="1">
        <f t="array" ref="I25:I32">H25:H32/$H$33*100</f>
        <v>15.815328169588257</v>
      </c>
    </row>
    <row r="26" spans="1:9" ht="15" customHeight="1" x14ac:dyDescent="0.3">
      <c r="A26" s="35">
        <v>17</v>
      </c>
      <c r="B26" s="35" t="str">
        <v>2002</v>
      </c>
      <c r="C26" s="36" t="str">
        <v>PAGAK</v>
      </c>
      <c r="D26" s="22">
        <v>1786</v>
      </c>
      <c r="E26" s="25">
        <v>3.6404402772115776</v>
      </c>
      <c r="F26" s="22">
        <v>1787</v>
      </c>
      <c r="G26" s="25">
        <v>3.6424785976355483</v>
      </c>
      <c r="H26" s="26">
        <v>3573</v>
      </c>
      <c r="I26" s="25">
        <v>7.2829188748471259</v>
      </c>
    </row>
    <row r="27" spans="1:9" ht="15" customHeight="1" x14ac:dyDescent="0.3">
      <c r="A27" s="35">
        <v>18</v>
      </c>
      <c r="B27" s="35" t="str">
        <v>2003</v>
      </c>
      <c r="C27" s="36" t="str">
        <v>KECITRAN</v>
      </c>
      <c r="D27" s="22">
        <v>3129</v>
      </c>
      <c r="E27" s="25">
        <v>6.377904606604158</v>
      </c>
      <c r="F27" s="22">
        <v>3138</v>
      </c>
      <c r="G27" s="25">
        <v>6.396249490419895</v>
      </c>
      <c r="H27" s="26">
        <v>6267</v>
      </c>
      <c r="I27" s="25">
        <v>12.774154097024052</v>
      </c>
    </row>
    <row r="28" spans="1:9" ht="15" customHeight="1" x14ac:dyDescent="0.3">
      <c r="A28" s="35">
        <v>19</v>
      </c>
      <c r="B28" s="35" t="str">
        <v>2004</v>
      </c>
      <c r="C28" s="36" t="str">
        <v>PURWAREJA</v>
      </c>
      <c r="D28" s="22">
        <v>4583</v>
      </c>
      <c r="E28" s="25">
        <v>9.3416225030574811</v>
      </c>
      <c r="F28" s="22">
        <v>4485</v>
      </c>
      <c r="G28" s="25">
        <v>9.1418671015083568</v>
      </c>
      <c r="H28" s="26">
        <v>9068</v>
      </c>
      <c r="I28" s="25">
        <v>18.483489604565836</v>
      </c>
    </row>
    <row r="29" spans="1:9" ht="15" customHeight="1" x14ac:dyDescent="0.3">
      <c r="A29" s="35">
        <v>20</v>
      </c>
      <c r="B29" s="35" t="str">
        <v>2005</v>
      </c>
      <c r="C29" s="36" t="str">
        <v>KLAMPOK</v>
      </c>
      <c r="D29" s="22">
        <v>3587</v>
      </c>
      <c r="E29" s="25">
        <v>7.3114553607827144</v>
      </c>
      <c r="F29" s="22">
        <v>3632</v>
      </c>
      <c r="G29" s="25">
        <v>7.4031797798613939</v>
      </c>
      <c r="H29" s="26">
        <v>7219</v>
      </c>
      <c r="I29" s="25">
        <v>14.714635140644109</v>
      </c>
    </row>
    <row r="30" spans="1:9" ht="15" customHeight="1" x14ac:dyDescent="0.3">
      <c r="A30" s="35">
        <v>21</v>
      </c>
      <c r="B30" s="35" t="str">
        <v>2006</v>
      </c>
      <c r="C30" s="36" t="str">
        <v>KALILANDAK</v>
      </c>
      <c r="D30" s="22">
        <v>1832</v>
      </c>
      <c r="E30" s="25">
        <v>3.7342030167142277</v>
      </c>
      <c r="F30" s="22">
        <v>1818</v>
      </c>
      <c r="G30" s="25">
        <v>3.7056665307786383</v>
      </c>
      <c r="H30" s="26">
        <v>3650</v>
      </c>
      <c r="I30" s="25">
        <v>7.4398695474928651</v>
      </c>
    </row>
    <row r="31" spans="1:9" ht="15" customHeight="1" x14ac:dyDescent="0.3">
      <c r="A31" s="35">
        <v>22</v>
      </c>
      <c r="B31" s="35" t="str">
        <v>2007</v>
      </c>
      <c r="C31" s="36" t="str">
        <v>KALIMANDI</v>
      </c>
      <c r="D31" s="22">
        <v>3264</v>
      </c>
      <c r="E31" s="25">
        <v>6.6530778638401955</v>
      </c>
      <c r="F31" s="22">
        <v>3109</v>
      </c>
      <c r="G31" s="25">
        <v>6.3371381981247445</v>
      </c>
      <c r="H31" s="26">
        <v>6373</v>
      </c>
      <c r="I31" s="25">
        <v>12.99021606196494</v>
      </c>
    </row>
    <row r="32" spans="1:9" ht="15" customHeight="1" x14ac:dyDescent="0.3">
      <c r="A32" s="35">
        <v>23</v>
      </c>
      <c r="B32" s="35" t="str">
        <v>2008</v>
      </c>
      <c r="C32" s="36" t="str">
        <v>KALIWINASUH</v>
      </c>
      <c r="D32" s="22">
        <v>2572</v>
      </c>
      <c r="E32" s="25">
        <v>5.2425601304525076</v>
      </c>
      <c r="F32" s="22">
        <v>2579</v>
      </c>
      <c r="G32" s="25">
        <v>5.2568283734203014</v>
      </c>
      <c r="H32" s="26">
        <v>5151</v>
      </c>
      <c r="I32" s="25">
        <v>10.499388503872808</v>
      </c>
    </row>
    <row r="33" spans="1:10" ht="15" customHeight="1" x14ac:dyDescent="0.3">
      <c r="A33" s="79" t="s">
        <v>575</v>
      </c>
      <c r="B33" s="79"/>
      <c r="C33" s="79"/>
      <c r="D33" s="39">
        <f>SUM(D25:D32)</f>
        <v>24641</v>
      </c>
      <c r="E33" s="40">
        <f>D33/$H$33*100</f>
        <v>50.226253567060738</v>
      </c>
      <c r="F33" s="39">
        <f>SUM(F25:F32)</f>
        <v>24419</v>
      </c>
      <c r="G33" s="40">
        <f>F33/$H$33*100</f>
        <v>49.773746432939262</v>
      </c>
      <c r="H33" s="39">
        <f>SUM(H25:H32)</f>
        <v>49060</v>
      </c>
      <c r="I33" s="40">
        <f>H33/$H$33*100</f>
        <v>100</v>
      </c>
    </row>
    <row r="34" spans="1:10" ht="15" customHeight="1" x14ac:dyDescent="0.3">
      <c r="A34" s="75" t="s">
        <v>589</v>
      </c>
      <c r="B34" s="75"/>
      <c r="C34" s="75"/>
      <c r="D34" s="75"/>
      <c r="E34" s="75"/>
      <c r="F34" s="75"/>
      <c r="G34" s="75"/>
      <c r="H34" s="75"/>
      <c r="I34" s="75"/>
      <c r="J34" s="42"/>
    </row>
    <row r="35" spans="1:10" ht="15" customHeight="1" x14ac:dyDescent="0.3">
      <c r="A35" s="76" t="s">
        <v>571</v>
      </c>
      <c r="B35" s="76" t="s">
        <v>586</v>
      </c>
      <c r="C35" s="76"/>
      <c r="D35" s="77" t="s">
        <v>573</v>
      </c>
      <c r="E35" s="77"/>
      <c r="F35" s="77" t="s">
        <v>574</v>
      </c>
      <c r="G35" s="77"/>
      <c r="H35" s="78" t="s">
        <v>575</v>
      </c>
      <c r="I35" s="78"/>
      <c r="J35" s="42"/>
    </row>
    <row r="36" spans="1:10" ht="15" customHeight="1" x14ac:dyDescent="0.3">
      <c r="A36" s="76"/>
      <c r="B36" s="32" t="s">
        <v>576</v>
      </c>
      <c r="C36" s="32" t="s">
        <v>577</v>
      </c>
      <c r="D36" s="33" t="s">
        <v>575</v>
      </c>
      <c r="E36" s="33" t="s">
        <v>578</v>
      </c>
      <c r="F36" s="33" t="s">
        <v>575</v>
      </c>
      <c r="G36" s="33" t="s">
        <v>578</v>
      </c>
      <c r="H36" s="34" t="s">
        <v>587</v>
      </c>
      <c r="I36" s="34" t="s">
        <v>578</v>
      </c>
      <c r="J36" s="42"/>
    </row>
    <row r="37" spans="1:10" ht="15" customHeight="1" x14ac:dyDescent="0.3">
      <c r="A37" s="35">
        <v>24</v>
      </c>
      <c r="B37" s="35" t="str" cm="1">
        <f t="array" ref="B37:B52">RIGHT(_xlfn._xlws.FILTER('AGR_JK_3304_KAB. BANJARNEGARA'!$B$3:$B$300,(LEN('AGR_JK_3304_KAB. BANJARNEGARA'!$B$3:$B$300)=13)*(LEFT('AGR_JK_3304_KAB. BANJARNEGARA'!$B$3:$B$300,8)=MID(A34,13,8))),4)</f>
        <v>2001</v>
      </c>
      <c r="C37" s="36" t="str" cm="1">
        <f t="array" ref="C37:D52">_xlfn._xlws.FILTER('AGR_JK_3304_KAB. BANJARNEGARA'!$C$3:$D$300,(LEN('AGR_JK_3304_KAB. BANJARNEGARA'!$B$3:$B$300)=13)*(LEFT('AGR_JK_3304_KAB. BANJARNEGARA'!$B$3:$B$300,8)=MID(A34,13,8)))</f>
        <v>JALATUNDA</v>
      </c>
      <c r="D37" s="22">
        <v>3003</v>
      </c>
      <c r="E37" s="25" cm="1">
        <f t="array" ref="E37:E52">D37:D52/$H$53*100</f>
        <v>3.6371343789741419</v>
      </c>
      <c r="F37" s="22" cm="1">
        <f t="array" ref="F37:F52">_xlfn._xlws.FILTER('AGR_JK_3304_KAB. BANJARNEGARA'!$E$3:$E$300,(LEN('AGR_JK_3304_KAB. BANJARNEGARA'!$B$3:$B$300)=13)*(LEFT('AGR_JK_3304_KAB. BANJARNEGARA'!$B$3:$B$300,8)=MID(A34,13,8)))</f>
        <v>2912</v>
      </c>
      <c r="G37" s="25" cm="1">
        <f t="array" ref="G37:G52">F37:F52/$H$53*100</f>
        <v>3.526918185671895</v>
      </c>
      <c r="H37" s="26" cm="1">
        <f t="array" ref="H37:H52">_xlfn._xlws.FILTER('AGR_JK_3304_KAB. BANJARNEGARA'!$F$3:$F$300,(LEN('AGR_JK_3304_KAB. BANJARNEGARA'!$B$3:$B$300)=13)*(LEFT('AGR_JK_3304_KAB. BANJARNEGARA'!$B$3:$B$300,8)=MID(A34,13,8)))</f>
        <v>5915</v>
      </c>
      <c r="I37" s="25" cm="1">
        <f t="array" ref="I37:I52">H37:H52/$H$53*100</f>
        <v>7.1640525646460365</v>
      </c>
      <c r="J37" s="42"/>
    </row>
    <row r="38" spans="1:10" ht="15" customHeight="1" x14ac:dyDescent="0.3">
      <c r="A38" s="35">
        <v>25</v>
      </c>
      <c r="B38" s="35" t="str">
        <v>2002</v>
      </c>
      <c r="C38" s="36" t="str">
        <v>SOMAWANGI</v>
      </c>
      <c r="D38" s="22">
        <v>4814</v>
      </c>
      <c r="E38" s="25">
        <v>5.8305577423847881</v>
      </c>
      <c r="F38" s="22">
        <v>4845</v>
      </c>
      <c r="G38" s="25">
        <v>5.8681039181251133</v>
      </c>
      <c r="H38" s="26">
        <v>9659</v>
      </c>
      <c r="I38" s="25">
        <v>11.698661660509902</v>
      </c>
      <c r="J38" s="42"/>
    </row>
    <row r="39" spans="1:10" ht="15" customHeight="1" x14ac:dyDescent="0.3">
      <c r="A39" s="35">
        <v>26</v>
      </c>
      <c r="B39" s="35" t="str">
        <v>2003</v>
      </c>
      <c r="C39" s="36" t="str">
        <v>KALIWUNGU</v>
      </c>
      <c r="D39" s="22">
        <v>2378</v>
      </c>
      <c r="E39" s="25">
        <v>2.8801550293707989</v>
      </c>
      <c r="F39" s="22">
        <v>2362</v>
      </c>
      <c r="G39" s="25">
        <v>2.8607763580209533</v>
      </c>
      <c r="H39" s="26">
        <v>4740</v>
      </c>
      <c r="I39" s="25">
        <v>5.7409313873917522</v>
      </c>
      <c r="J39" s="42"/>
    </row>
    <row r="40" spans="1:10" ht="15" customHeight="1" x14ac:dyDescent="0.3">
      <c r="A40" s="35">
        <v>27</v>
      </c>
      <c r="B40" s="35" t="str">
        <v>2004</v>
      </c>
      <c r="C40" s="36" t="str">
        <v>KEBANARAN</v>
      </c>
      <c r="D40" s="22">
        <v>3062</v>
      </c>
      <c r="E40" s="25">
        <v>3.7085932295766968</v>
      </c>
      <c r="F40" s="22">
        <v>3037</v>
      </c>
      <c r="G40" s="25">
        <v>3.6783140555925637</v>
      </c>
      <c r="H40" s="26">
        <v>6099</v>
      </c>
      <c r="I40" s="25">
        <v>7.3869072851692597</v>
      </c>
      <c r="J40" s="42"/>
    </row>
    <row r="41" spans="1:10" ht="15" customHeight="1" x14ac:dyDescent="0.3">
      <c r="A41" s="35">
        <v>28</v>
      </c>
      <c r="B41" s="35" t="str">
        <v>2005</v>
      </c>
      <c r="C41" s="36" t="str">
        <v>GLEMPANG</v>
      </c>
      <c r="D41" s="22">
        <v>3515</v>
      </c>
      <c r="E41" s="25">
        <v>4.2572518621692002</v>
      </c>
      <c r="F41" s="22">
        <v>3448</v>
      </c>
      <c r="G41" s="25">
        <v>4.1761036758917216</v>
      </c>
      <c r="H41" s="26">
        <v>6963</v>
      </c>
      <c r="I41" s="25">
        <v>8.4333555380609209</v>
      </c>
      <c r="J41" s="42"/>
    </row>
    <row r="42" spans="1:10" ht="15" customHeight="1" x14ac:dyDescent="0.3">
      <c r="A42" s="35">
        <v>29</v>
      </c>
      <c r="B42" s="35" t="str">
        <v>2006</v>
      </c>
      <c r="C42" s="36" t="str">
        <v>SALAMERTA</v>
      </c>
      <c r="D42" s="22">
        <v>2719</v>
      </c>
      <c r="E42" s="25">
        <v>3.293162962514383</v>
      </c>
      <c r="F42" s="22">
        <v>2637</v>
      </c>
      <c r="G42" s="25">
        <v>3.1938472718464244</v>
      </c>
      <c r="H42" s="26">
        <v>5356</v>
      </c>
      <c r="I42" s="25">
        <v>6.4870102343608069</v>
      </c>
      <c r="J42" s="42"/>
    </row>
    <row r="43" spans="1:10" ht="15" customHeight="1" x14ac:dyDescent="0.3">
      <c r="A43" s="35">
        <v>30</v>
      </c>
      <c r="B43" s="35" t="str">
        <v>2007</v>
      </c>
      <c r="C43" s="36" t="str">
        <v>PURWASABA</v>
      </c>
      <c r="D43" s="22">
        <v>3833</v>
      </c>
      <c r="E43" s="25">
        <v>4.6424029552473804</v>
      </c>
      <c r="F43" s="22">
        <v>3742</v>
      </c>
      <c r="G43" s="25">
        <v>4.5321867619451339</v>
      </c>
      <c r="H43" s="26">
        <v>7575</v>
      </c>
      <c r="I43" s="25">
        <v>9.1745897171925144</v>
      </c>
      <c r="J43" s="42"/>
    </row>
    <row r="44" spans="1:10" ht="15" customHeight="1" x14ac:dyDescent="0.3">
      <c r="A44" s="35">
        <v>31</v>
      </c>
      <c r="B44" s="35" t="str">
        <v>2008</v>
      </c>
      <c r="C44" s="36" t="str">
        <v>BLIMBING</v>
      </c>
      <c r="D44" s="22">
        <v>1421</v>
      </c>
      <c r="E44" s="25">
        <v>1.7210682492581602</v>
      </c>
      <c r="F44" s="22">
        <v>1302</v>
      </c>
      <c r="G44" s="25">
        <v>1.5769393810936838</v>
      </c>
      <c r="H44" s="26">
        <v>2723</v>
      </c>
      <c r="I44" s="25">
        <v>3.2980076303518437</v>
      </c>
      <c r="J44" s="42"/>
    </row>
    <row r="45" spans="1:10" ht="15" customHeight="1" x14ac:dyDescent="0.3">
      <c r="A45" s="35">
        <v>32</v>
      </c>
      <c r="B45" s="35" t="str">
        <v>2009</v>
      </c>
      <c r="C45" s="36" t="str">
        <v>PANGGISARI</v>
      </c>
      <c r="D45" s="22">
        <v>2671</v>
      </c>
      <c r="E45" s="25">
        <v>3.2350269484648462</v>
      </c>
      <c r="F45" s="22">
        <v>2650</v>
      </c>
      <c r="G45" s="25">
        <v>3.2095924423181739</v>
      </c>
      <c r="H45" s="26">
        <v>5321</v>
      </c>
      <c r="I45" s="25">
        <v>6.4446193907830196</v>
      </c>
      <c r="J45" s="42"/>
    </row>
    <row r="46" spans="1:10" ht="15" customHeight="1" x14ac:dyDescent="0.3">
      <c r="A46" s="35">
        <v>33</v>
      </c>
      <c r="B46" s="35" t="str">
        <v>2010</v>
      </c>
      <c r="C46" s="36" t="str">
        <v>CANDIWULAN</v>
      </c>
      <c r="D46" s="22">
        <v>1373</v>
      </c>
      <c r="E46" s="25">
        <v>1.6629322352086233</v>
      </c>
      <c r="F46" s="22">
        <v>1353</v>
      </c>
      <c r="G46" s="25">
        <v>1.6387088960213168</v>
      </c>
      <c r="H46" s="26">
        <v>2726</v>
      </c>
      <c r="I46" s="25">
        <v>3.3016411312299399</v>
      </c>
      <c r="J46" s="42"/>
    </row>
    <row r="47" spans="1:10" ht="15" customHeight="1" x14ac:dyDescent="0.3">
      <c r="A47" s="35">
        <v>34</v>
      </c>
      <c r="B47" s="35" t="str">
        <v>2011</v>
      </c>
      <c r="C47" s="36" t="str">
        <v>SIMBANG</v>
      </c>
      <c r="D47" s="22">
        <v>1323</v>
      </c>
      <c r="E47" s="25">
        <v>1.6023738872403561</v>
      </c>
      <c r="F47" s="22">
        <v>1300</v>
      </c>
      <c r="G47" s="25">
        <v>1.574517047174953</v>
      </c>
      <c r="H47" s="26">
        <v>2623</v>
      </c>
      <c r="I47" s="25">
        <v>3.1768909344153093</v>
      </c>
      <c r="J47" s="42"/>
    </row>
    <row r="48" spans="1:10" ht="15" customHeight="1" x14ac:dyDescent="0.3">
      <c r="A48" s="35">
        <v>35</v>
      </c>
      <c r="B48" s="35" t="str">
        <v>2012</v>
      </c>
      <c r="C48" s="36" t="str">
        <v>KERTAYASA</v>
      </c>
      <c r="D48" s="22">
        <v>3651</v>
      </c>
      <c r="E48" s="25">
        <v>4.4219705686428874</v>
      </c>
      <c r="F48" s="22">
        <v>3478</v>
      </c>
      <c r="G48" s="25">
        <v>4.2124386846726818</v>
      </c>
      <c r="H48" s="26">
        <v>7129</v>
      </c>
      <c r="I48" s="25">
        <v>8.6344092533155692</v>
      </c>
      <c r="J48" s="42"/>
    </row>
    <row r="49" spans="1:10" ht="15" customHeight="1" x14ac:dyDescent="0.3">
      <c r="A49" s="35">
        <v>36</v>
      </c>
      <c r="B49" s="35" t="str">
        <v>2013</v>
      </c>
      <c r="C49" s="36" t="str">
        <v>BANJENGAN</v>
      </c>
      <c r="D49" s="22">
        <v>1322</v>
      </c>
      <c r="E49" s="25">
        <v>1.6011627202809908</v>
      </c>
      <c r="F49" s="22">
        <v>1258</v>
      </c>
      <c r="G49" s="25">
        <v>1.5236480348816084</v>
      </c>
      <c r="H49" s="26">
        <v>2580</v>
      </c>
      <c r="I49" s="25">
        <v>3.1248107551625992</v>
      </c>
      <c r="J49" s="42"/>
    </row>
    <row r="50" spans="1:10" ht="15" customHeight="1" x14ac:dyDescent="0.3">
      <c r="A50" s="35">
        <v>37</v>
      </c>
      <c r="B50" s="35" t="str">
        <v>2014</v>
      </c>
      <c r="C50" s="37" t="str">
        <v>MANDIRAJA KULON</v>
      </c>
      <c r="D50" s="22">
        <v>3233</v>
      </c>
      <c r="E50" s="25">
        <v>3.9157027796281718</v>
      </c>
      <c r="F50" s="22">
        <v>3153</v>
      </c>
      <c r="G50" s="25">
        <v>3.8188094228789438</v>
      </c>
      <c r="H50" s="26">
        <v>6386</v>
      </c>
      <c r="I50" s="25">
        <v>7.7345122025071156</v>
      </c>
      <c r="J50" s="42"/>
    </row>
    <row r="51" spans="1:10" ht="15" customHeight="1" x14ac:dyDescent="0.3">
      <c r="A51" s="35">
        <v>38</v>
      </c>
      <c r="B51" s="35" t="str">
        <v>2015</v>
      </c>
      <c r="C51" s="36" t="str">
        <v>KEBAKALAN</v>
      </c>
      <c r="D51" s="38">
        <v>859</v>
      </c>
      <c r="E51" s="25">
        <v>1.0403924180948343</v>
      </c>
      <c r="F51" s="38">
        <v>815</v>
      </c>
      <c r="G51" s="25">
        <v>0.98710107188275908</v>
      </c>
      <c r="H51" s="26">
        <v>1674</v>
      </c>
      <c r="I51" s="25">
        <v>2.0274934899775934</v>
      </c>
      <c r="J51" s="42"/>
    </row>
    <row r="52" spans="1:10" ht="15" customHeight="1" x14ac:dyDescent="0.3">
      <c r="A52" s="35">
        <v>39</v>
      </c>
      <c r="B52" s="35" t="str">
        <v>2016</v>
      </c>
      <c r="C52" s="37" t="str">
        <v>MANDIRAJA WETAN</v>
      </c>
      <c r="D52" s="22">
        <v>2553</v>
      </c>
      <c r="E52" s="25">
        <v>3.0921092472597347</v>
      </c>
      <c r="F52" s="22">
        <v>2543</v>
      </c>
      <c r="G52" s="25">
        <v>3.0799975776660813</v>
      </c>
      <c r="H52" s="26">
        <v>5096</v>
      </c>
      <c r="I52" s="25">
        <v>6.172106824925816</v>
      </c>
      <c r="J52" s="42"/>
    </row>
    <row r="53" spans="1:10" ht="15" customHeight="1" x14ac:dyDescent="0.3">
      <c r="A53" s="79" t="s">
        <v>575</v>
      </c>
      <c r="B53" s="79"/>
      <c r="C53" s="79"/>
      <c r="D53" s="39">
        <f>SUM(D37:D52)</f>
        <v>41730</v>
      </c>
      <c r="E53" s="40">
        <f>D53/$H$53*100</f>
        <v>50.541997214315991</v>
      </c>
      <c r="F53" s="39">
        <f>SUM(F37:F52)</f>
        <v>40835</v>
      </c>
      <c r="G53" s="40">
        <f>F53/$H$53*100</f>
        <v>49.458002785684009</v>
      </c>
      <c r="H53" s="39">
        <f>SUM(H37:H52)</f>
        <v>82565</v>
      </c>
      <c r="I53" s="40">
        <f>H53/$H$53*100</f>
        <v>100</v>
      </c>
    </row>
    <row r="54" spans="1:10" ht="15" customHeight="1" x14ac:dyDescent="0.3">
      <c r="A54" s="80" t="s">
        <v>590</v>
      </c>
      <c r="B54" s="81"/>
      <c r="C54" s="81"/>
      <c r="D54" s="81"/>
      <c r="E54" s="81"/>
      <c r="F54" s="81"/>
      <c r="G54" s="81"/>
      <c r="H54" s="81"/>
      <c r="I54" s="82"/>
    </row>
    <row r="55" spans="1:10" ht="15" customHeight="1" x14ac:dyDescent="0.3">
      <c r="A55" s="76" t="s">
        <v>571</v>
      </c>
      <c r="B55" s="76" t="s">
        <v>586</v>
      </c>
      <c r="C55" s="76"/>
      <c r="D55" s="77" t="s">
        <v>573</v>
      </c>
      <c r="E55" s="77"/>
      <c r="F55" s="77" t="s">
        <v>574</v>
      </c>
      <c r="G55" s="77"/>
      <c r="H55" s="78" t="s">
        <v>575</v>
      </c>
      <c r="I55" s="78"/>
    </row>
    <row r="56" spans="1:10" ht="15" customHeight="1" x14ac:dyDescent="0.3">
      <c r="A56" s="76"/>
      <c r="B56" s="32" t="s">
        <v>576</v>
      </c>
      <c r="C56" s="32" t="s">
        <v>577</v>
      </c>
      <c r="D56" s="33" t="s">
        <v>575</v>
      </c>
      <c r="E56" s="33" t="s">
        <v>578</v>
      </c>
      <c r="F56" s="33" t="s">
        <v>575</v>
      </c>
      <c r="G56" s="33" t="s">
        <v>578</v>
      </c>
      <c r="H56" s="34" t="s">
        <v>587</v>
      </c>
      <c r="I56" s="34" t="s">
        <v>578</v>
      </c>
    </row>
    <row r="57" spans="1:10" ht="15" customHeight="1" x14ac:dyDescent="0.3">
      <c r="A57" s="35">
        <v>40</v>
      </c>
      <c r="B57" s="35" t="str" cm="1">
        <f t="array" ref="B57:B69">RIGHT(_xlfn._xlws.FILTER('AGR_JK_3304_KAB. BANJARNEGARA'!$B$3:$B$300,(LEN('AGR_JK_3304_KAB. BANJARNEGARA'!$B$3:$B$300)=13)*(LEFT('AGR_JK_3304_KAB. BANJARNEGARA'!$B$3:$B$300,8)=MID(A54,13,8))),4)</f>
        <v>2001</v>
      </c>
      <c r="C57" s="36" t="str" cm="1">
        <f t="array" ref="C57:D69">_xlfn._xlws.FILTER('AGR_JK_3304_KAB. BANJARNEGARA'!$C$3:$D$300,(LEN('AGR_JK_3304_KAB. BANJARNEGARA'!$B$3:$B$300)=13)*(LEFT('AGR_JK_3304_KAB. BANJARNEGARA'!$B$3:$B$300,8)=MID(A54,13,8)))</f>
        <v>KALITENGAH</v>
      </c>
      <c r="D57" s="22">
        <v>2525</v>
      </c>
      <c r="E57" s="25" cm="1">
        <f t="array" ref="E57:E69">D57:D69/$H$70*100</f>
        <v>2.9384724598214804</v>
      </c>
      <c r="F57" s="22" cm="1">
        <f t="array" ref="F57:F69">_xlfn._xlws.FILTER('AGR_JK_3304_KAB. BANJARNEGARA'!$E$3:$E$300,(LEN('AGR_JK_3304_KAB. BANJARNEGARA'!$B$3:$B$300)=13)*(LEFT('AGR_JK_3304_KAB. BANJARNEGARA'!$B$3:$B$300,8)=MID(A54,13,8)))</f>
        <v>2456</v>
      </c>
      <c r="G57" s="25" cm="1">
        <f t="array" ref="G57:G69">F57:F69/$H$70*100</f>
        <v>2.8581736084441807</v>
      </c>
      <c r="H57" s="26" cm="1">
        <f t="array" ref="H57:H69">_xlfn._xlws.FILTER('AGR_JK_3304_KAB. BANJARNEGARA'!$F$3:$F$300,(LEN('AGR_JK_3304_KAB. BANJARNEGARA'!$B$3:$B$300)=13)*(LEFT('AGR_JK_3304_KAB. BANJARNEGARA'!$B$3:$B$300,8)=MID(A54,13,8)))</f>
        <v>4981</v>
      </c>
      <c r="I57" s="25" cm="1">
        <f t="array" ref="I57:I69">H57:H69/$H$70*100</f>
        <v>5.7966460682656606</v>
      </c>
    </row>
    <row r="58" spans="1:10" ht="15" customHeight="1" x14ac:dyDescent="0.3">
      <c r="A58" s="35">
        <v>41</v>
      </c>
      <c r="B58" s="35" t="str">
        <v>2002</v>
      </c>
      <c r="C58" s="36" t="str">
        <v>MERDEN</v>
      </c>
      <c r="D58" s="22">
        <v>6112</v>
      </c>
      <c r="E58" s="25">
        <v>7.1128489799718375</v>
      </c>
      <c r="F58" s="22">
        <v>5823</v>
      </c>
      <c r="G58" s="25">
        <v>6.7765248053625671</v>
      </c>
      <c r="H58" s="26">
        <v>11935</v>
      </c>
      <c r="I58" s="25">
        <v>13.889373785334405</v>
      </c>
    </row>
    <row r="59" spans="1:10" ht="15" customHeight="1" x14ac:dyDescent="0.3">
      <c r="A59" s="35">
        <v>42</v>
      </c>
      <c r="B59" s="35" t="str">
        <v>2003</v>
      </c>
      <c r="C59" s="36" t="str">
        <v>KARANGANYAR</v>
      </c>
      <c r="D59" s="22">
        <v>3650</v>
      </c>
      <c r="E59" s="25">
        <v>4.2476928627122392</v>
      </c>
      <c r="F59" s="22">
        <v>3664</v>
      </c>
      <c r="G59" s="25">
        <v>4.263985383281546</v>
      </c>
      <c r="H59" s="26">
        <v>7314</v>
      </c>
      <c r="I59" s="25">
        <v>8.5116782459937852</v>
      </c>
    </row>
    <row r="60" spans="1:10" ht="15" customHeight="1" x14ac:dyDescent="0.3">
      <c r="A60" s="35">
        <v>43</v>
      </c>
      <c r="B60" s="35" t="str">
        <v>2004</v>
      </c>
      <c r="C60" s="36" t="str">
        <v>KALIAJIR</v>
      </c>
      <c r="D60" s="22">
        <v>2924</v>
      </c>
      <c r="E60" s="25">
        <v>3.402809296046736</v>
      </c>
      <c r="F60" s="22">
        <v>2877</v>
      </c>
      <c r="G60" s="25">
        <v>3.3481129769926334</v>
      </c>
      <c r="H60" s="26">
        <v>5801</v>
      </c>
      <c r="I60" s="25">
        <v>6.7509222730393699</v>
      </c>
    </row>
    <row r="61" spans="1:10" ht="15" customHeight="1" x14ac:dyDescent="0.3">
      <c r="A61" s="35">
        <v>44</v>
      </c>
      <c r="B61" s="35" t="str">
        <v>2005</v>
      </c>
      <c r="C61" s="36" t="str">
        <v>PETIR</v>
      </c>
      <c r="D61" s="22">
        <v>4219</v>
      </c>
      <c r="E61" s="25">
        <v>4.9098674487076543</v>
      </c>
      <c r="F61" s="22">
        <v>4080</v>
      </c>
      <c r="G61" s="25">
        <v>4.7481059944838178</v>
      </c>
      <c r="H61" s="26">
        <v>8299</v>
      </c>
      <c r="I61" s="25">
        <v>9.657973443191473</v>
      </c>
    </row>
    <row r="62" spans="1:10" ht="15" customHeight="1" x14ac:dyDescent="0.3">
      <c r="A62" s="35">
        <v>45</v>
      </c>
      <c r="B62" s="35" t="str">
        <v>2006</v>
      </c>
      <c r="C62" s="36" t="str">
        <v>PUCUNGBEDUG</v>
      </c>
      <c r="D62" s="22">
        <v>3564</v>
      </c>
      <c r="E62" s="25">
        <v>4.1476102363579237</v>
      </c>
      <c r="F62" s="22">
        <v>3409</v>
      </c>
      <c r="G62" s="25">
        <v>3.967228758626308</v>
      </c>
      <c r="H62" s="26">
        <v>6973</v>
      </c>
      <c r="I62" s="25">
        <v>8.1148389949842326</v>
      </c>
    </row>
    <row r="63" spans="1:10" ht="15" customHeight="1" x14ac:dyDescent="0.3">
      <c r="A63" s="35">
        <v>46</v>
      </c>
      <c r="B63" s="35" t="str">
        <v>2007</v>
      </c>
      <c r="C63" s="36" t="str">
        <v>PARAKAN</v>
      </c>
      <c r="D63" s="22">
        <v>2742</v>
      </c>
      <c r="E63" s="25">
        <v>3.1910065286457421</v>
      </c>
      <c r="F63" s="22">
        <v>2716</v>
      </c>
      <c r="G63" s="25">
        <v>3.1607489904456005</v>
      </c>
      <c r="H63" s="26">
        <v>5458</v>
      </c>
      <c r="I63" s="25">
        <v>6.3517555190913431</v>
      </c>
    </row>
    <row r="64" spans="1:10" ht="15" customHeight="1" x14ac:dyDescent="0.3">
      <c r="A64" s="35">
        <v>47</v>
      </c>
      <c r="B64" s="35" t="str">
        <v>2008</v>
      </c>
      <c r="C64" s="36" t="str">
        <v>MERTASARI</v>
      </c>
      <c r="D64" s="22">
        <v>2470</v>
      </c>
      <c r="E64" s="25">
        <v>2.8744661290134879</v>
      </c>
      <c r="F64" s="22">
        <v>2516</v>
      </c>
      <c r="G64" s="25">
        <v>2.9279986965983542</v>
      </c>
      <c r="H64" s="26">
        <v>4986</v>
      </c>
      <c r="I64" s="25">
        <v>5.8024648256118425</v>
      </c>
    </row>
    <row r="65" spans="1:9" ht="15" customHeight="1" x14ac:dyDescent="0.3">
      <c r="A65" s="35">
        <v>48</v>
      </c>
      <c r="B65" s="35" t="str">
        <v>2009</v>
      </c>
      <c r="C65" s="36" t="str">
        <v>DANARAJA</v>
      </c>
      <c r="D65" s="22">
        <v>2743</v>
      </c>
      <c r="E65" s="25">
        <v>3.1921702801149787</v>
      </c>
      <c r="F65" s="22">
        <v>2772</v>
      </c>
      <c r="G65" s="25">
        <v>3.2259190727228293</v>
      </c>
      <c r="H65" s="26">
        <v>5515</v>
      </c>
      <c r="I65" s="25">
        <v>6.418089352837808</v>
      </c>
    </row>
    <row r="66" spans="1:9" ht="15" customHeight="1" x14ac:dyDescent="0.3">
      <c r="A66" s="35">
        <v>49</v>
      </c>
      <c r="B66" s="35" t="str">
        <v>2010</v>
      </c>
      <c r="C66" s="36" t="str">
        <v>PURWONEGORO</v>
      </c>
      <c r="D66" s="22">
        <v>4336</v>
      </c>
      <c r="E66" s="25">
        <v>5.0460263706082928</v>
      </c>
      <c r="F66" s="22">
        <v>4404</v>
      </c>
      <c r="G66" s="25">
        <v>5.1251614705163568</v>
      </c>
      <c r="H66" s="26">
        <v>8740</v>
      </c>
      <c r="I66" s="25">
        <v>10.171187841124651</v>
      </c>
    </row>
    <row r="67" spans="1:9" ht="15" customHeight="1" x14ac:dyDescent="0.3">
      <c r="A67" s="35">
        <v>50</v>
      </c>
      <c r="B67" s="35" t="str">
        <v>2011</v>
      </c>
      <c r="C67" s="36" t="str">
        <v>KALIPELUS</v>
      </c>
      <c r="D67" s="22">
        <v>2395</v>
      </c>
      <c r="E67" s="25">
        <v>2.7871847688207709</v>
      </c>
      <c r="F67" s="22">
        <v>2337</v>
      </c>
      <c r="G67" s="25">
        <v>2.7196871836050693</v>
      </c>
      <c r="H67" s="26">
        <v>4732</v>
      </c>
      <c r="I67" s="25">
        <v>5.5068719524258398</v>
      </c>
    </row>
    <row r="68" spans="1:9" ht="15" customHeight="1" x14ac:dyDescent="0.3">
      <c r="A68" s="35">
        <v>51</v>
      </c>
      <c r="B68" s="35" t="str">
        <v>2012</v>
      </c>
      <c r="C68" s="36" t="str">
        <v>GUMIWANG</v>
      </c>
      <c r="D68" s="22">
        <v>4034</v>
      </c>
      <c r="E68" s="25">
        <v>4.6945734268989519</v>
      </c>
      <c r="F68" s="22">
        <v>4018</v>
      </c>
      <c r="G68" s="25">
        <v>4.6759534033911718</v>
      </c>
      <c r="H68" s="26">
        <v>8052</v>
      </c>
      <c r="I68" s="25">
        <v>9.3705268302901228</v>
      </c>
    </row>
    <row r="69" spans="1:9" ht="15" customHeight="1" x14ac:dyDescent="0.3">
      <c r="A69" s="35">
        <v>52</v>
      </c>
      <c r="B69" s="35" t="str">
        <v>2013</v>
      </c>
      <c r="C69" s="36" t="str">
        <v>KUTAWULUH</v>
      </c>
      <c r="D69" s="22">
        <v>1583</v>
      </c>
      <c r="E69" s="25">
        <v>1.8422185758009519</v>
      </c>
      <c r="F69" s="22">
        <v>1560</v>
      </c>
      <c r="G69" s="25">
        <v>1.8154522920085188</v>
      </c>
      <c r="H69" s="26">
        <v>3143</v>
      </c>
      <c r="I69" s="25">
        <v>3.6576708678094705</v>
      </c>
    </row>
    <row r="70" spans="1:9" ht="15" customHeight="1" x14ac:dyDescent="0.3">
      <c r="A70" s="79" t="s">
        <v>575</v>
      </c>
      <c r="B70" s="79"/>
      <c r="C70" s="79"/>
      <c r="D70" s="39">
        <f>SUM(D57:D69)</f>
        <v>43297</v>
      </c>
      <c r="E70" s="40">
        <f>D70/$H$70*100</f>
        <v>50.386947363521053</v>
      </c>
      <c r="F70" s="39">
        <f>SUM(F57:F69)</f>
        <v>42632</v>
      </c>
      <c r="G70" s="40">
        <f>F70/$H$70*100</f>
        <v>49.613052636478955</v>
      </c>
      <c r="H70" s="39">
        <f>SUM(H57:H69)</f>
        <v>85929</v>
      </c>
      <c r="I70" s="40">
        <f>H70/$H$70*100</f>
        <v>100</v>
      </c>
    </row>
    <row r="71" spans="1:9" ht="15" customHeight="1" x14ac:dyDescent="0.3">
      <c r="A71" s="80" t="s">
        <v>591</v>
      </c>
      <c r="B71" s="81"/>
      <c r="C71" s="81"/>
      <c r="D71" s="81"/>
      <c r="E71" s="81"/>
      <c r="F71" s="81"/>
      <c r="G71" s="81"/>
      <c r="H71" s="81"/>
      <c r="I71" s="82"/>
    </row>
    <row r="72" spans="1:9" ht="15" customHeight="1" x14ac:dyDescent="0.3">
      <c r="A72" s="76" t="s">
        <v>571</v>
      </c>
      <c r="B72" s="76" t="s">
        <v>586</v>
      </c>
      <c r="C72" s="76"/>
      <c r="D72" s="77" t="s">
        <v>573</v>
      </c>
      <c r="E72" s="77"/>
      <c r="F72" s="77" t="s">
        <v>574</v>
      </c>
      <c r="G72" s="77"/>
      <c r="H72" s="78" t="s">
        <v>575</v>
      </c>
      <c r="I72" s="78"/>
    </row>
    <row r="73" spans="1:9" ht="15" customHeight="1" x14ac:dyDescent="0.3">
      <c r="A73" s="76"/>
      <c r="B73" s="32" t="s">
        <v>576</v>
      </c>
      <c r="C73" s="32" t="s">
        <v>577</v>
      </c>
      <c r="D73" s="33" t="s">
        <v>575</v>
      </c>
      <c r="E73" s="33" t="s">
        <v>578</v>
      </c>
      <c r="F73" s="33" t="s">
        <v>575</v>
      </c>
      <c r="G73" s="33" t="s">
        <v>578</v>
      </c>
      <c r="H73" s="34" t="s">
        <v>587</v>
      </c>
      <c r="I73" s="34" t="s">
        <v>578</v>
      </c>
    </row>
    <row r="74" spans="1:9" ht="15" customHeight="1" x14ac:dyDescent="0.3">
      <c r="A74" s="35">
        <v>53</v>
      </c>
      <c r="B74" s="35" t="str" cm="1">
        <f t="array" ref="B74:B91">RIGHT(_xlfn._xlws.FILTER('AGR_JK_3304_KAB. BANJARNEGARA'!$B$3:$B$300,(LEN('AGR_JK_3304_KAB. BANJARNEGARA'!$B$3:$B$300)=13)*(LEFT('AGR_JK_3304_KAB. BANJARNEGARA'!$B$3:$B$300,8)=MID(A71,13,8))),4)</f>
        <v>2001</v>
      </c>
      <c r="C74" s="36" t="str" cm="1">
        <f t="array" ref="C74:D91">_xlfn._xlws.FILTER('AGR_JK_3304_KAB. BANJARNEGARA'!$C$3:$D$300,(LEN('AGR_JK_3304_KAB. BANJARNEGARA'!$B$3:$B$300)=13)*(LEFT('AGR_JK_3304_KAB. BANJARNEGARA'!$B$3:$B$300,8)=MID(A71,13,8)))</f>
        <v>WANADRI</v>
      </c>
      <c r="D74" s="22">
        <v>2397</v>
      </c>
      <c r="E74" s="25" cm="1">
        <f t="array" ref="E74:E91">D74:D91/$H$92*100</f>
        <v>3.6302230837965141</v>
      </c>
      <c r="F74" s="22" cm="1">
        <f t="array" ref="F74:F91">_xlfn._xlws.FILTER('AGR_JK_3304_KAB. BANJARNEGARA'!$E$3:$E$300,(LEN('AGR_JK_3304_KAB. BANJARNEGARA'!$B$3:$B$300)=13)*(LEFT('AGR_JK_3304_KAB. BANJARNEGARA'!$B$3:$B$300,8)=MID(A71,13,8)))</f>
        <v>2338</v>
      </c>
      <c r="G74" s="25" cm="1">
        <f t="array" ref="G74:G91">F74:F91/$H$92*100</f>
        <v>3.5408684063063198</v>
      </c>
      <c r="H74" s="26" cm="1">
        <f t="array" ref="H74:H91">_xlfn._xlws.FILTER('AGR_JK_3304_KAB. BANJARNEGARA'!$F$3:$F$300,(LEN('AGR_JK_3304_KAB. BANJARNEGARA'!$B$3:$B$300)=13)*(LEFT('AGR_JK_3304_KAB. BANJARNEGARA'!$B$3:$B$300,8)=MID(A71,13,8)))</f>
        <v>4735</v>
      </c>
      <c r="I74" s="25" cm="1">
        <f t="array" ref="I74:I91">H74:H91/$H$92*100</f>
        <v>7.1710914901028335</v>
      </c>
    </row>
    <row r="75" spans="1:9" ht="15" customHeight="1" x14ac:dyDescent="0.3">
      <c r="A75" s="35">
        <v>54</v>
      </c>
      <c r="B75" s="35" t="str">
        <v>2002</v>
      </c>
      <c r="C75" s="36" t="str">
        <v>KEBONDALEM</v>
      </c>
      <c r="D75" s="43">
        <v>2186</v>
      </c>
      <c r="E75" s="25">
        <v>3.3106665253146343</v>
      </c>
      <c r="F75" s="43">
        <v>2094</v>
      </c>
      <c r="G75" s="25">
        <v>3.1713338078722986</v>
      </c>
      <c r="H75" s="26">
        <v>4280</v>
      </c>
      <c r="I75" s="25">
        <v>6.4820003331869325</v>
      </c>
    </row>
    <row r="76" spans="1:9" ht="15" customHeight="1" x14ac:dyDescent="0.3">
      <c r="A76" s="35">
        <v>55</v>
      </c>
      <c r="B76" s="35" t="str">
        <v>2003</v>
      </c>
      <c r="C76" s="36" t="str">
        <v>MAJALENGKA</v>
      </c>
      <c r="D76" s="43">
        <v>1924</v>
      </c>
      <c r="E76" s="25">
        <v>2.9138711778158082</v>
      </c>
      <c r="F76" s="43">
        <v>1778</v>
      </c>
      <c r="G76" s="25">
        <v>2.6927562131790577</v>
      </c>
      <c r="H76" s="26">
        <v>3702</v>
      </c>
      <c r="I76" s="25">
        <v>5.6066273909948654</v>
      </c>
    </row>
    <row r="77" spans="1:9" ht="15" customHeight="1" x14ac:dyDescent="0.3">
      <c r="A77" s="35">
        <v>56</v>
      </c>
      <c r="B77" s="35" t="str">
        <v>2004</v>
      </c>
      <c r="C77" s="36" t="str">
        <v>WIRAMASTRA</v>
      </c>
      <c r="D77" s="43">
        <v>1715</v>
      </c>
      <c r="E77" s="25">
        <v>2.5973435914522405</v>
      </c>
      <c r="F77" s="43">
        <v>1604</v>
      </c>
      <c r="G77" s="25">
        <v>2.4292356388859444</v>
      </c>
      <c r="H77" s="26">
        <v>3319</v>
      </c>
      <c r="I77" s="25">
        <v>5.026579230338184</v>
      </c>
    </row>
    <row r="78" spans="1:9" ht="15" customHeight="1" x14ac:dyDescent="0.3">
      <c r="A78" s="35">
        <v>57</v>
      </c>
      <c r="B78" s="35" t="str">
        <v>2005</v>
      </c>
      <c r="C78" s="36" t="str">
        <v>KUTAYASA</v>
      </c>
      <c r="D78" s="44">
        <v>975</v>
      </c>
      <c r="E78" s="25">
        <v>1.4766239076769299</v>
      </c>
      <c r="F78" s="44">
        <v>935</v>
      </c>
      <c r="G78" s="25">
        <v>1.4160444653106969</v>
      </c>
      <c r="H78" s="26">
        <v>1910</v>
      </c>
      <c r="I78" s="25">
        <v>2.8926683729876266</v>
      </c>
    </row>
    <row r="79" spans="1:9" ht="15" customHeight="1" x14ac:dyDescent="0.3">
      <c r="A79" s="35">
        <v>58</v>
      </c>
      <c r="B79" s="35" t="str">
        <v>2006</v>
      </c>
      <c r="C79" s="36" t="str">
        <v>WINONG</v>
      </c>
      <c r="D79" s="43">
        <v>1537</v>
      </c>
      <c r="E79" s="25">
        <v>2.3277650729225039</v>
      </c>
      <c r="F79" s="43">
        <v>1535</v>
      </c>
      <c r="G79" s="25">
        <v>2.3247361008041922</v>
      </c>
      <c r="H79" s="26">
        <v>3072</v>
      </c>
      <c r="I79" s="25">
        <v>4.6525011737266961</v>
      </c>
    </row>
    <row r="80" spans="1:9" ht="15" customHeight="1" x14ac:dyDescent="0.3">
      <c r="A80" s="35">
        <v>59</v>
      </c>
      <c r="B80" s="35" t="str">
        <v>2007</v>
      </c>
      <c r="C80" s="36" t="str">
        <v>DEPOK</v>
      </c>
      <c r="D80" s="44">
        <v>525</v>
      </c>
      <c r="E80" s="25">
        <v>0.79510518105680839</v>
      </c>
      <c r="F80" s="44">
        <v>498</v>
      </c>
      <c r="G80" s="25">
        <v>0.75421405745960102</v>
      </c>
      <c r="H80" s="26">
        <v>1023</v>
      </c>
      <c r="I80" s="25">
        <v>1.5493192385164094</v>
      </c>
    </row>
    <row r="81" spans="1:9" ht="15" customHeight="1" x14ac:dyDescent="0.3">
      <c r="A81" s="35">
        <v>60</v>
      </c>
      <c r="B81" s="35" t="str">
        <v>2008</v>
      </c>
      <c r="C81" s="36" t="str">
        <v>WATUURIP</v>
      </c>
      <c r="D81" s="44">
        <v>618</v>
      </c>
      <c r="E81" s="25">
        <v>0.9359523845583001</v>
      </c>
      <c r="F81" s="44">
        <v>633</v>
      </c>
      <c r="G81" s="25">
        <v>0.95866967544563741</v>
      </c>
      <c r="H81" s="26">
        <v>1251</v>
      </c>
      <c r="I81" s="25">
        <v>1.8946220600039376</v>
      </c>
    </row>
    <row r="82" spans="1:9" ht="15" customHeight="1" x14ac:dyDescent="0.3">
      <c r="A82" s="35">
        <v>61</v>
      </c>
      <c r="B82" s="35" t="str">
        <v>2009</v>
      </c>
      <c r="C82" s="36" t="str">
        <v>MASARAN</v>
      </c>
      <c r="D82" s="43">
        <v>1566</v>
      </c>
      <c r="E82" s="25">
        <v>2.3716851686380229</v>
      </c>
      <c r="F82" s="43">
        <v>1519</v>
      </c>
      <c r="G82" s="25">
        <v>2.3005043238576985</v>
      </c>
      <c r="H82" s="26">
        <v>3085</v>
      </c>
      <c r="I82" s="25">
        <v>4.6721894924957219</v>
      </c>
    </row>
    <row r="83" spans="1:9" ht="15" customHeight="1" x14ac:dyDescent="0.3">
      <c r="A83" s="35">
        <v>62</v>
      </c>
      <c r="B83" s="35" t="str">
        <v>2010</v>
      </c>
      <c r="C83" s="36" t="str">
        <v>SERANG</v>
      </c>
      <c r="D83" s="44">
        <v>666</v>
      </c>
      <c r="E83" s="25">
        <v>1.0086477153977798</v>
      </c>
      <c r="F83" s="44">
        <v>633</v>
      </c>
      <c r="G83" s="25">
        <v>0.95866967544563741</v>
      </c>
      <c r="H83" s="26">
        <v>1299</v>
      </c>
      <c r="I83" s="25">
        <v>1.9673173908434174</v>
      </c>
    </row>
    <row r="84" spans="1:9" ht="15" customHeight="1" x14ac:dyDescent="0.3">
      <c r="A84" s="35">
        <v>63</v>
      </c>
      <c r="B84" s="35" t="str">
        <v>2011</v>
      </c>
      <c r="C84" s="36" t="str">
        <v>MANTRIANOM</v>
      </c>
      <c r="D84" s="43">
        <v>2644</v>
      </c>
      <c r="E84" s="25">
        <v>4.0043011404080024</v>
      </c>
      <c r="F84" s="43">
        <v>2650</v>
      </c>
      <c r="G84" s="25">
        <v>4.0133880567629374</v>
      </c>
      <c r="H84" s="26">
        <v>5294</v>
      </c>
      <c r="I84" s="25">
        <v>8.0176891971709399</v>
      </c>
    </row>
    <row r="85" spans="1:9" ht="15" customHeight="1" x14ac:dyDescent="0.3">
      <c r="A85" s="35">
        <v>64</v>
      </c>
      <c r="B85" s="35" t="str">
        <v>2012</v>
      </c>
      <c r="C85" s="36" t="str">
        <v>BINORONG</v>
      </c>
      <c r="D85" s="43">
        <v>2649</v>
      </c>
      <c r="E85" s="25">
        <v>4.0118735707037816</v>
      </c>
      <c r="F85" s="43">
        <v>2646</v>
      </c>
      <c r="G85" s="25">
        <v>4.0073301125263141</v>
      </c>
      <c r="H85" s="26">
        <v>5295</v>
      </c>
      <c r="I85" s="25">
        <v>8.0192036832300957</v>
      </c>
    </row>
    <row r="86" spans="1:9" ht="15" customHeight="1" x14ac:dyDescent="0.3">
      <c r="A86" s="35">
        <v>65</v>
      </c>
      <c r="B86" s="35" t="str">
        <v>2013</v>
      </c>
      <c r="C86" s="36" t="str">
        <v>JOHO</v>
      </c>
      <c r="D86" s="43">
        <v>1274</v>
      </c>
      <c r="E86" s="25">
        <v>1.9294552393645217</v>
      </c>
      <c r="F86" s="43">
        <v>1244</v>
      </c>
      <c r="G86" s="25">
        <v>1.884020657589847</v>
      </c>
      <c r="H86" s="26">
        <v>2518</v>
      </c>
      <c r="I86" s="25">
        <v>3.8134758969543685</v>
      </c>
    </row>
    <row r="87" spans="1:9" ht="15" customHeight="1" x14ac:dyDescent="0.3">
      <c r="A87" s="35">
        <v>66</v>
      </c>
      <c r="B87" s="35" t="str">
        <v>2014</v>
      </c>
      <c r="C87" s="36" t="str">
        <v>BAWANG</v>
      </c>
      <c r="D87" s="43">
        <v>2151</v>
      </c>
      <c r="E87" s="25">
        <v>3.2576595132441808</v>
      </c>
      <c r="F87" s="43">
        <v>2138</v>
      </c>
      <c r="G87" s="25">
        <v>3.2379711944751546</v>
      </c>
      <c r="H87" s="26">
        <v>4289</v>
      </c>
      <c r="I87" s="25">
        <v>6.4956307077193358</v>
      </c>
    </row>
    <row r="88" spans="1:9" ht="15" customHeight="1" x14ac:dyDescent="0.3">
      <c r="A88" s="35">
        <v>67</v>
      </c>
      <c r="B88" s="35" t="str">
        <v>2015</v>
      </c>
      <c r="C88" s="36" t="str">
        <v>BANDINGAN</v>
      </c>
      <c r="D88" s="44">
        <v>856</v>
      </c>
      <c r="E88" s="25">
        <v>1.2964000666373865</v>
      </c>
      <c r="F88" s="44">
        <v>872</v>
      </c>
      <c r="G88" s="25">
        <v>1.32063184358388</v>
      </c>
      <c r="H88" s="26">
        <v>1728</v>
      </c>
      <c r="I88" s="25">
        <v>2.6170319102212662</v>
      </c>
    </row>
    <row r="89" spans="1:9" ht="15" customHeight="1" x14ac:dyDescent="0.3">
      <c r="A89" s="35">
        <v>68</v>
      </c>
      <c r="B89" s="35" t="str">
        <v>2016</v>
      </c>
      <c r="C89" s="36" t="str">
        <v>BLAMBANGAN</v>
      </c>
      <c r="D89" s="43">
        <v>3014</v>
      </c>
      <c r="E89" s="25">
        <v>4.5646609822956581</v>
      </c>
      <c r="F89" s="43">
        <v>3052</v>
      </c>
      <c r="G89" s="25">
        <v>4.6222114525435796</v>
      </c>
      <c r="H89" s="26">
        <v>6066</v>
      </c>
      <c r="I89" s="25">
        <v>9.1868724348392377</v>
      </c>
    </row>
    <row r="90" spans="1:9" ht="15" customHeight="1" x14ac:dyDescent="0.3">
      <c r="A90" s="35">
        <v>69</v>
      </c>
      <c r="B90" s="35" t="str">
        <v>2017</v>
      </c>
      <c r="C90" s="36" t="str">
        <v>GEMURUH</v>
      </c>
      <c r="D90" s="43">
        <v>3242</v>
      </c>
      <c r="E90" s="25">
        <v>4.9099638037831861</v>
      </c>
      <c r="F90" s="43">
        <v>3150</v>
      </c>
      <c r="G90" s="25">
        <v>4.7706310863408499</v>
      </c>
      <c r="H90" s="26">
        <v>6392</v>
      </c>
      <c r="I90" s="25">
        <v>9.680594890124036</v>
      </c>
    </row>
    <row r="91" spans="1:9" ht="15" customHeight="1" x14ac:dyDescent="0.3">
      <c r="A91" s="35">
        <v>70</v>
      </c>
      <c r="B91" s="35" t="str">
        <v>2018</v>
      </c>
      <c r="C91" s="36" t="str">
        <v>PUCANG</v>
      </c>
      <c r="D91" s="43">
        <v>3405</v>
      </c>
      <c r="E91" s="25">
        <v>5.1568250314255861</v>
      </c>
      <c r="F91" s="43">
        <v>3366</v>
      </c>
      <c r="G91" s="25">
        <v>5.0977600751185088</v>
      </c>
      <c r="H91" s="26">
        <v>6771</v>
      </c>
      <c r="I91" s="25">
        <v>10.254585106544093</v>
      </c>
    </row>
    <row r="92" spans="1:9" ht="15" customHeight="1" x14ac:dyDescent="0.3">
      <c r="A92" s="79" t="s">
        <v>575</v>
      </c>
      <c r="B92" s="79"/>
      <c r="C92" s="79"/>
      <c r="D92" s="39">
        <f>SUM(D74:D91)</f>
        <v>33344</v>
      </c>
      <c r="E92" s="40">
        <f>D92/$H$92*100</f>
        <v>50.499023156491837</v>
      </c>
      <c r="F92" s="39">
        <f>SUM(F74:F91)</f>
        <v>32685</v>
      </c>
      <c r="G92" s="40">
        <f>F92/$H$92*100</f>
        <v>49.500976843508155</v>
      </c>
      <c r="H92" s="39">
        <f>SUM(H74:H91)</f>
        <v>66029</v>
      </c>
      <c r="I92" s="40">
        <f>H92/$H$92*100</f>
        <v>100</v>
      </c>
    </row>
    <row r="93" spans="1:9" ht="15" customHeight="1" x14ac:dyDescent="0.3">
      <c r="A93" s="80" t="s">
        <v>592</v>
      </c>
      <c r="B93" s="81"/>
      <c r="C93" s="81"/>
      <c r="D93" s="81"/>
      <c r="E93" s="81"/>
      <c r="F93" s="81"/>
      <c r="G93" s="81"/>
      <c r="H93" s="81"/>
      <c r="I93" s="82"/>
    </row>
    <row r="94" spans="1:9" ht="15" customHeight="1" x14ac:dyDescent="0.3">
      <c r="A94" s="76" t="s">
        <v>571</v>
      </c>
      <c r="B94" s="76" t="s">
        <v>586</v>
      </c>
      <c r="C94" s="76"/>
      <c r="D94" s="77" t="s">
        <v>573</v>
      </c>
      <c r="E94" s="77"/>
      <c r="F94" s="77" t="s">
        <v>574</v>
      </c>
      <c r="G94" s="77"/>
      <c r="H94" s="78" t="s">
        <v>575</v>
      </c>
      <c r="I94" s="78"/>
    </row>
    <row r="95" spans="1:9" ht="15" customHeight="1" x14ac:dyDescent="0.3">
      <c r="A95" s="76"/>
      <c r="B95" s="32" t="s">
        <v>576</v>
      </c>
      <c r="C95" s="32" t="s">
        <v>577</v>
      </c>
      <c r="D95" s="33" t="s">
        <v>575</v>
      </c>
      <c r="E95" s="33" t="s">
        <v>578</v>
      </c>
      <c r="F95" s="33" t="s">
        <v>575</v>
      </c>
      <c r="G95" s="33" t="s">
        <v>578</v>
      </c>
      <c r="H95" s="34" t="s">
        <v>587</v>
      </c>
      <c r="I95" s="34" t="s">
        <v>578</v>
      </c>
    </row>
    <row r="96" spans="1:9" ht="15" customHeight="1" x14ac:dyDescent="0.3">
      <c r="A96" s="35">
        <v>71</v>
      </c>
      <c r="B96" s="35" t="str" cm="1">
        <f t="array" ref="B96:B108">RIGHT(_xlfn._xlws.FILTER('AGR_JK_3304_KAB. BANJARNEGARA'!$B$3:$B$300,(LEN('AGR_JK_3304_KAB. BANJARNEGARA'!$B$3:$B$300)=13)*(LEFT('AGR_JK_3304_KAB. BANJARNEGARA'!$B$3:$B$300,8)=MID(A93,13,8))),4)</f>
        <v>1001</v>
      </c>
      <c r="C96" s="36" t="str" cm="1">
        <f t="array" ref="C96:D108">_xlfn._xlws.FILTER('AGR_JK_3304_KAB. BANJARNEGARA'!$C$3:$D$300,(LEN('AGR_JK_3304_KAB. BANJARNEGARA'!$B$3:$B$300)=13)*(LEFT('AGR_JK_3304_KAB. BANJARNEGARA'!$B$3:$B$300,8)=MID(A93,13,8)))</f>
        <v>ARGASOKA</v>
      </c>
      <c r="D96" s="22">
        <v>2886</v>
      </c>
      <c r="E96" s="25" cm="1">
        <f t="array" ref="E96:E108">D96:D108/$H$109*100</f>
        <v>4.0621569124229371</v>
      </c>
      <c r="F96" s="22" cm="1">
        <f t="array" ref="F96:F108">_xlfn._xlws.FILTER('AGR_JK_3304_KAB. BANJARNEGARA'!$E$3:$E$300,(LEN('AGR_JK_3304_KAB. BANJARNEGARA'!$B$3:$B$300)=13)*(LEFT('AGR_JK_3304_KAB. BANJARNEGARA'!$B$3:$B$300,8)=MID(A93,13,8)))</f>
        <v>2779</v>
      </c>
      <c r="G96" s="25" cm="1">
        <f t="array" ref="G96:G108">F96:F108/$H$109*100</f>
        <v>3.9115502632097519</v>
      </c>
      <c r="H96" s="26" cm="1">
        <f t="array" ref="H96:H108">_xlfn._xlws.FILTER('AGR_JK_3304_KAB. BANJARNEGARA'!$F$3:$F$300,(LEN('AGR_JK_3304_KAB. BANJARNEGARA'!$B$3:$B$300)=13)*(LEFT('AGR_JK_3304_KAB. BANJARNEGARA'!$B$3:$B$300,8)=MID(A93,13,8)))</f>
        <v>5665</v>
      </c>
      <c r="I96" s="25" cm="1">
        <f t="array" ref="I96:I108">H96:H108/$H$109*100</f>
        <v>7.973707175632688</v>
      </c>
    </row>
    <row r="97" spans="1:9" ht="15" customHeight="1" x14ac:dyDescent="0.3">
      <c r="A97" s="35">
        <v>72</v>
      </c>
      <c r="B97" s="35" t="str">
        <v>1006</v>
      </c>
      <c r="C97" s="36" t="str">
        <v>KARANGTENGAH</v>
      </c>
      <c r="D97" s="43">
        <v>2110</v>
      </c>
      <c r="E97" s="25">
        <v>2.9699068209329167</v>
      </c>
      <c r="F97" s="43">
        <v>2156</v>
      </c>
      <c r="G97" s="25">
        <v>3.0346536047068096</v>
      </c>
      <c r="H97" s="26">
        <v>4266</v>
      </c>
      <c r="I97" s="25">
        <v>6.0045604256397267</v>
      </c>
    </row>
    <row r="98" spans="1:9" ht="15" customHeight="1" x14ac:dyDescent="0.3">
      <c r="A98" s="35">
        <v>73</v>
      </c>
      <c r="B98" s="35" t="str">
        <v>1007</v>
      </c>
      <c r="C98" s="36" t="str">
        <v>WANGON</v>
      </c>
      <c r="D98" s="43">
        <v>1540</v>
      </c>
      <c r="E98" s="25">
        <v>2.1676097176477214</v>
      </c>
      <c r="F98" s="43">
        <v>1494</v>
      </c>
      <c r="G98" s="25">
        <v>2.1028629338738281</v>
      </c>
      <c r="H98" s="26">
        <v>3034</v>
      </c>
      <c r="I98" s="25">
        <v>4.2704726515215494</v>
      </c>
    </row>
    <row r="99" spans="1:9" ht="15" customHeight="1" x14ac:dyDescent="0.3">
      <c r="A99" s="35">
        <v>74</v>
      </c>
      <c r="B99" s="35" t="str">
        <v>1008</v>
      </c>
      <c r="C99" s="36" t="str">
        <v>SEMAMPIR</v>
      </c>
      <c r="D99" s="43">
        <v>2021</v>
      </c>
      <c r="E99" s="25">
        <v>2.844635869718211</v>
      </c>
      <c r="F99" s="43">
        <v>2019</v>
      </c>
      <c r="G99" s="25">
        <v>2.841820792162824</v>
      </c>
      <c r="H99" s="26">
        <v>4040</v>
      </c>
      <c r="I99" s="25">
        <v>5.686456661881035</v>
      </c>
    </row>
    <row r="100" spans="1:9" ht="15" customHeight="1" x14ac:dyDescent="0.3">
      <c r="A100" s="35">
        <v>75</v>
      </c>
      <c r="B100" s="35" t="str">
        <v>1009</v>
      </c>
      <c r="C100" s="36" t="str">
        <v>SOKANANDI</v>
      </c>
      <c r="D100" s="44">
        <v>3223</v>
      </c>
      <c r="E100" s="25">
        <v>4.536497480505588</v>
      </c>
      <c r="F100" s="44">
        <v>3242</v>
      </c>
      <c r="G100" s="25">
        <v>4.5632407172817615</v>
      </c>
      <c r="H100" s="26">
        <v>6465</v>
      </c>
      <c r="I100" s="25">
        <v>9.0997381977873495</v>
      </c>
    </row>
    <row r="101" spans="1:9" ht="15" customHeight="1" x14ac:dyDescent="0.3">
      <c r="A101" s="35">
        <v>76</v>
      </c>
      <c r="B101" s="35" t="str">
        <v>1010</v>
      </c>
      <c r="C101" s="36" t="str">
        <v>PARAKANCANGGAH</v>
      </c>
      <c r="D101" s="43">
        <v>4534</v>
      </c>
      <c r="E101" s="25">
        <v>6.3817808180615376</v>
      </c>
      <c r="F101" s="43">
        <v>4588</v>
      </c>
      <c r="G101" s="25">
        <v>6.4577879120569763</v>
      </c>
      <c r="H101" s="26">
        <v>9122</v>
      </c>
      <c r="I101" s="25">
        <v>12.839568730118515</v>
      </c>
    </row>
    <row r="102" spans="1:9" ht="15" customHeight="1" x14ac:dyDescent="0.3">
      <c r="A102" s="35">
        <v>77</v>
      </c>
      <c r="B102" s="35" t="str">
        <v>1011</v>
      </c>
      <c r="C102" s="36" t="str">
        <v>SEMARANG</v>
      </c>
      <c r="D102" s="44">
        <v>2644</v>
      </c>
      <c r="E102" s="25">
        <v>3.7215325282211524</v>
      </c>
      <c r="F102" s="44">
        <v>2631</v>
      </c>
      <c r="G102" s="25">
        <v>3.7032345241111395</v>
      </c>
      <c r="H102" s="26">
        <v>5275</v>
      </c>
      <c r="I102" s="25">
        <v>7.4247670523322915</v>
      </c>
    </row>
    <row r="103" spans="1:9" ht="15" customHeight="1" x14ac:dyDescent="0.3">
      <c r="A103" s="35">
        <v>78</v>
      </c>
      <c r="B103" s="35" t="str">
        <v>1012</v>
      </c>
      <c r="C103" s="36" t="str">
        <v>KRANDEGAN</v>
      </c>
      <c r="D103" s="44">
        <v>3303</v>
      </c>
      <c r="E103" s="25">
        <v>4.6491005827210534</v>
      </c>
      <c r="F103" s="44">
        <v>3234</v>
      </c>
      <c r="G103" s="25">
        <v>4.5519804070602143</v>
      </c>
      <c r="H103" s="26">
        <v>6537</v>
      </c>
      <c r="I103" s="25">
        <v>9.2010809897812678</v>
      </c>
    </row>
    <row r="104" spans="1:9" ht="15" customHeight="1" x14ac:dyDescent="0.3">
      <c r="A104" s="35">
        <v>79</v>
      </c>
      <c r="B104" s="35" t="str">
        <v>1013</v>
      </c>
      <c r="C104" s="45" t="str">
        <v>KUTABANJARNEGARA</v>
      </c>
      <c r="D104" s="43">
        <v>5587</v>
      </c>
      <c r="E104" s="25">
        <v>7.8639191509726096</v>
      </c>
      <c r="F104" s="43">
        <v>5772</v>
      </c>
      <c r="G104" s="25">
        <v>8.1243138248458742</v>
      </c>
      <c r="H104" s="26">
        <v>11359</v>
      </c>
      <c r="I104" s="25">
        <v>15.988232975818484</v>
      </c>
    </row>
    <row r="105" spans="1:9" ht="15" customHeight="1" x14ac:dyDescent="0.3">
      <c r="A105" s="35">
        <v>80</v>
      </c>
      <c r="B105" s="35" t="str">
        <v>2002</v>
      </c>
      <c r="C105" s="36" t="str">
        <v>AMPELSARI</v>
      </c>
      <c r="D105" s="44">
        <v>2690</v>
      </c>
      <c r="E105" s="25">
        <v>3.7862793119950457</v>
      </c>
      <c r="F105" s="44">
        <v>2572</v>
      </c>
      <c r="G105" s="25">
        <v>3.6201897362272333</v>
      </c>
      <c r="H105" s="26">
        <v>5262</v>
      </c>
      <c r="I105" s="25">
        <v>7.406469048222279</v>
      </c>
    </row>
    <row r="106" spans="1:9" ht="15" customHeight="1" x14ac:dyDescent="0.3">
      <c r="A106" s="35">
        <v>81</v>
      </c>
      <c r="B106" s="35" t="str">
        <v>2003</v>
      </c>
      <c r="C106" s="36" t="str">
        <v>TLAGAWERA</v>
      </c>
      <c r="D106" s="43">
        <v>1690</v>
      </c>
      <c r="E106" s="25">
        <v>2.3787405343017198</v>
      </c>
      <c r="F106" s="43">
        <v>1556</v>
      </c>
      <c r="G106" s="25">
        <v>2.1901303380908144</v>
      </c>
      <c r="H106" s="26">
        <v>3246</v>
      </c>
      <c r="I106" s="25">
        <v>4.5688708723925346</v>
      </c>
    </row>
    <row r="107" spans="1:9" ht="15" customHeight="1" x14ac:dyDescent="0.3">
      <c r="A107" s="35">
        <v>82</v>
      </c>
      <c r="B107" s="35" t="str">
        <v>2004</v>
      </c>
      <c r="C107" s="36" t="str">
        <v>CENDANA</v>
      </c>
      <c r="D107" s="43">
        <v>1871</v>
      </c>
      <c r="E107" s="25">
        <v>2.6335050530642121</v>
      </c>
      <c r="F107" s="43">
        <v>1790</v>
      </c>
      <c r="G107" s="25">
        <v>2.5194944120710527</v>
      </c>
      <c r="H107" s="26">
        <v>3661</v>
      </c>
      <c r="I107" s="25">
        <v>5.1529994651352649</v>
      </c>
    </row>
    <row r="108" spans="1:9" ht="15" customHeight="1" x14ac:dyDescent="0.3">
      <c r="A108" s="35">
        <v>83</v>
      </c>
      <c r="B108" s="35" t="str">
        <v>2005</v>
      </c>
      <c r="C108" s="36" t="str">
        <v>SOKAYASA</v>
      </c>
      <c r="D108" s="43">
        <v>1574</v>
      </c>
      <c r="E108" s="25">
        <v>2.2154660360892944</v>
      </c>
      <c r="F108" s="43">
        <v>1540</v>
      </c>
      <c r="G108" s="25">
        <v>2.1676097176477214</v>
      </c>
      <c r="H108" s="26">
        <v>3114</v>
      </c>
      <c r="I108" s="25">
        <v>4.3830757537370157</v>
      </c>
    </row>
    <row r="109" spans="1:9" ht="15" customHeight="1" x14ac:dyDescent="0.3">
      <c r="A109" s="79" t="s">
        <v>575</v>
      </c>
      <c r="B109" s="79"/>
      <c r="C109" s="79"/>
      <c r="D109" s="39">
        <f>SUM(D96:D108)</f>
        <v>35673</v>
      </c>
      <c r="E109" s="40">
        <f>D109/$H$109*100</f>
        <v>50.211130816654006</v>
      </c>
      <c r="F109" s="39">
        <f>SUM(F96:F108)</f>
        <v>35373</v>
      </c>
      <c r="G109" s="40">
        <f>F109/$H$109*100</f>
        <v>49.788869183346002</v>
      </c>
      <c r="H109" s="39">
        <f>SUM(H96:H108)</f>
        <v>71046</v>
      </c>
      <c r="I109" s="40">
        <f>H109/$H$109*100</f>
        <v>100</v>
      </c>
    </row>
    <row r="110" spans="1:9" ht="15" customHeight="1" x14ac:dyDescent="0.3">
      <c r="A110" s="80" t="s">
        <v>593</v>
      </c>
      <c r="B110" s="81"/>
      <c r="C110" s="81"/>
      <c r="D110" s="81"/>
      <c r="E110" s="81"/>
      <c r="F110" s="81"/>
      <c r="G110" s="81"/>
      <c r="H110" s="81"/>
      <c r="I110" s="82"/>
    </row>
    <row r="111" spans="1:9" ht="15" customHeight="1" x14ac:dyDescent="0.3">
      <c r="A111" s="76" t="s">
        <v>571</v>
      </c>
      <c r="B111" s="76" t="s">
        <v>586</v>
      </c>
      <c r="C111" s="76"/>
      <c r="D111" s="77" t="s">
        <v>573</v>
      </c>
      <c r="E111" s="77"/>
      <c r="F111" s="77" t="s">
        <v>574</v>
      </c>
      <c r="G111" s="77"/>
      <c r="H111" s="78" t="s">
        <v>575</v>
      </c>
      <c r="I111" s="78"/>
    </row>
    <row r="112" spans="1:9" ht="15" customHeight="1" x14ac:dyDescent="0.3">
      <c r="A112" s="76"/>
      <c r="B112" s="32" t="s">
        <v>576</v>
      </c>
      <c r="C112" s="32" t="s">
        <v>577</v>
      </c>
      <c r="D112" s="33" t="s">
        <v>575</v>
      </c>
      <c r="E112" s="33" t="s">
        <v>578</v>
      </c>
      <c r="F112" s="33" t="s">
        <v>575</v>
      </c>
      <c r="G112" s="33" t="s">
        <v>578</v>
      </c>
      <c r="H112" s="34" t="s">
        <v>587</v>
      </c>
      <c r="I112" s="34" t="s">
        <v>578</v>
      </c>
    </row>
    <row r="113" spans="1:9" ht="15" customHeight="1" x14ac:dyDescent="0.3">
      <c r="A113" s="35">
        <v>84</v>
      </c>
      <c r="B113" s="35" t="str" cm="1">
        <f t="array" ref="B113:B127">RIGHT(_xlfn._xlws.FILTER('AGR_JK_3304_KAB. BANJARNEGARA'!$B$3:$B$300,(LEN('AGR_JK_3304_KAB. BANJARNEGARA'!$B$3:$B$300)=13)*(LEFT('AGR_JK_3304_KAB. BANJARNEGARA'!$B$3:$B$300,8)=MID(A110,13,8))),4)</f>
        <v>1015</v>
      </c>
      <c r="C113" s="36" t="str" cm="1">
        <f t="array" ref="C113:D127">_xlfn._xlws.FILTER('AGR_JK_3304_KAB. BANJARNEGARA'!$C$3:$D$300,(LEN('AGR_JK_3304_KAB. BANJARNEGARA'!$B$3:$B$300)=13)*(LEFT('AGR_JK_3304_KAB. BANJARNEGARA'!$B$3:$B$300,8)=MID(A110,13,8)))</f>
        <v>KALIBENDA</v>
      </c>
      <c r="D113" s="22">
        <v>1031</v>
      </c>
      <c r="E113" s="25" cm="1">
        <f t="array" ref="E113:E127">D113:D127/$H$128*100</f>
        <v>3.1411857900188895</v>
      </c>
      <c r="F113" s="22" cm="1">
        <f t="array" ref="F113:F127">_xlfn._xlws.FILTER('AGR_JK_3304_KAB. BANJARNEGARA'!$E$3:$E$300,(LEN('AGR_JK_3304_KAB. BANJARNEGARA'!$B$3:$B$300)=13)*(LEFT('AGR_JK_3304_KAB. BANJARNEGARA'!$B$3:$B$300,8)=MID(A110,13,8)))</f>
        <v>992</v>
      </c>
      <c r="G113" s="25" cm="1">
        <f t="array" ref="G113:G127">F113:F127/$H$128*100</f>
        <v>3.0223630491743343</v>
      </c>
      <c r="H113" s="26" cm="1">
        <f t="array" ref="H113:H127">_xlfn._xlws.FILTER('AGR_JK_3304_KAB. BANJARNEGARA'!$F$3:$F$300,(LEN('AGR_JK_3304_KAB. BANJARNEGARA'!$B$3:$B$300)=13)*(LEFT('AGR_JK_3304_KAB. BANJARNEGARA'!$B$3:$B$300,8)=MID(A110,13,8)))</f>
        <v>2023</v>
      </c>
      <c r="I113" s="25" cm="1">
        <f t="array" ref="I113:I127">H113:H127/$H$128*100</f>
        <v>6.1635488391932238</v>
      </c>
    </row>
    <row r="114" spans="1:9" ht="15" customHeight="1" x14ac:dyDescent="0.3">
      <c r="A114" s="35">
        <v>85</v>
      </c>
      <c r="B114" s="35" t="str">
        <v>2001</v>
      </c>
      <c r="C114" s="36" t="str">
        <v>PRINGAMBA</v>
      </c>
      <c r="D114" s="43">
        <v>953</v>
      </c>
      <c r="E114" s="25">
        <v>2.9035403083297786</v>
      </c>
      <c r="F114" s="43">
        <v>948</v>
      </c>
      <c r="G114" s="25">
        <v>2.8883066236061179</v>
      </c>
      <c r="H114" s="26">
        <v>1901</v>
      </c>
      <c r="I114" s="25">
        <v>5.7918469319358961</v>
      </c>
    </row>
    <row r="115" spans="1:9" ht="15" customHeight="1" x14ac:dyDescent="0.3">
      <c r="A115" s="35">
        <v>86</v>
      </c>
      <c r="B115" s="35" t="str">
        <v>2002</v>
      </c>
      <c r="C115" s="36" t="str">
        <v>SAWAL</v>
      </c>
      <c r="D115" s="43">
        <v>1452</v>
      </c>
      <c r="E115" s="25">
        <v>4.423862043751142</v>
      </c>
      <c r="F115" s="43">
        <v>1338</v>
      </c>
      <c r="G115" s="25">
        <v>4.076534032051673</v>
      </c>
      <c r="H115" s="26">
        <v>2790</v>
      </c>
      <c r="I115" s="25">
        <v>8.500396075802815</v>
      </c>
    </row>
    <row r="116" spans="1:9" ht="15" customHeight="1" x14ac:dyDescent="0.3">
      <c r="A116" s="35">
        <v>87</v>
      </c>
      <c r="B116" s="35" t="str">
        <v>2003</v>
      </c>
      <c r="C116" s="36" t="str">
        <v>PANAWAREN</v>
      </c>
      <c r="D116" s="43">
        <v>1871</v>
      </c>
      <c r="E116" s="25">
        <v>5.7004448235939309</v>
      </c>
      <c r="F116" s="43">
        <v>1764</v>
      </c>
      <c r="G116" s="25">
        <v>5.3744439705075866</v>
      </c>
      <c r="H116" s="26">
        <v>3635</v>
      </c>
      <c r="I116" s="25">
        <v>11.074888794101517</v>
      </c>
    </row>
    <row r="117" spans="1:9" ht="15" customHeight="1" x14ac:dyDescent="0.3">
      <c r="A117" s="35">
        <v>88</v>
      </c>
      <c r="B117" s="35" t="str">
        <v>2004</v>
      </c>
      <c r="C117" s="36" t="str">
        <v>TUNGGARA</v>
      </c>
      <c r="D117" s="44">
        <v>945</v>
      </c>
      <c r="E117" s="25">
        <v>2.8791664127719212</v>
      </c>
      <c r="F117" s="44">
        <v>957</v>
      </c>
      <c r="G117" s="25">
        <v>2.9157272561087075</v>
      </c>
      <c r="H117" s="26">
        <v>1902</v>
      </c>
      <c r="I117" s="25">
        <v>5.7948936688806292</v>
      </c>
    </row>
    <row r="118" spans="1:9" ht="15" customHeight="1" x14ac:dyDescent="0.3">
      <c r="A118" s="35">
        <v>89</v>
      </c>
      <c r="B118" s="35" t="str">
        <v>2005</v>
      </c>
      <c r="C118" s="36" t="str">
        <v>RANDEGAN</v>
      </c>
      <c r="D118" s="43">
        <v>666</v>
      </c>
      <c r="E118" s="25">
        <v>2.0291268051916398</v>
      </c>
      <c r="F118" s="43">
        <v>609</v>
      </c>
      <c r="G118" s="25">
        <v>1.8554627993419048</v>
      </c>
      <c r="H118" s="26">
        <v>1275</v>
      </c>
      <c r="I118" s="25">
        <v>3.8845896045335451</v>
      </c>
    </row>
    <row r="119" spans="1:9" ht="15" customHeight="1" x14ac:dyDescent="0.3">
      <c r="A119" s="35">
        <v>90</v>
      </c>
      <c r="B119" s="35" t="str">
        <v>2006</v>
      </c>
      <c r="C119" s="36" t="str">
        <v>BOJANEGARA</v>
      </c>
      <c r="D119" s="44">
        <v>1564</v>
      </c>
      <c r="E119" s="25">
        <v>4.7650965815611475</v>
      </c>
      <c r="F119" s="44">
        <v>1560</v>
      </c>
      <c r="G119" s="25">
        <v>4.7529096337822194</v>
      </c>
      <c r="H119" s="26">
        <v>3124</v>
      </c>
      <c r="I119" s="25">
        <v>9.5180062153433678</v>
      </c>
    </row>
    <row r="120" spans="1:9" ht="15" customHeight="1" x14ac:dyDescent="0.3">
      <c r="A120" s="35">
        <v>91</v>
      </c>
      <c r="B120" s="35" t="str">
        <v>2007</v>
      </c>
      <c r="C120" s="36" t="str">
        <v>BANDINGAN</v>
      </c>
      <c r="D120" s="44">
        <v>1052</v>
      </c>
      <c r="E120" s="25">
        <v>3.2051672658582655</v>
      </c>
      <c r="F120" s="44">
        <v>1001</v>
      </c>
      <c r="G120" s="25">
        <v>3.0497836816769239</v>
      </c>
      <c r="H120" s="26">
        <v>2053</v>
      </c>
      <c r="I120" s="25">
        <v>6.2549509475351899</v>
      </c>
    </row>
    <row r="121" spans="1:9" ht="15" customHeight="1" x14ac:dyDescent="0.3">
      <c r="A121" s="35">
        <v>92</v>
      </c>
      <c r="B121" s="35" t="str">
        <v>2008</v>
      </c>
      <c r="C121" s="36" t="str">
        <v>PRIGI</v>
      </c>
      <c r="D121" s="43">
        <v>2321</v>
      </c>
      <c r="E121" s="25">
        <v>7.0714764487234172</v>
      </c>
      <c r="F121" s="43">
        <v>2319</v>
      </c>
      <c r="G121" s="25">
        <v>7.0653829748339527</v>
      </c>
      <c r="H121" s="26">
        <v>4640</v>
      </c>
      <c r="I121" s="25">
        <v>14.136859423557372</v>
      </c>
    </row>
    <row r="122" spans="1:9" ht="15" customHeight="1" x14ac:dyDescent="0.3">
      <c r="A122" s="35">
        <v>93</v>
      </c>
      <c r="B122" s="35" t="str">
        <v>2009</v>
      </c>
      <c r="C122" s="36" t="str">
        <v>GEMBONGAN</v>
      </c>
      <c r="D122" s="44">
        <v>1641</v>
      </c>
      <c r="E122" s="25">
        <v>4.9996953263055266</v>
      </c>
      <c r="F122" s="44">
        <v>1600</v>
      </c>
      <c r="G122" s="25">
        <v>4.8747791115715069</v>
      </c>
      <c r="H122" s="26">
        <v>3241</v>
      </c>
      <c r="I122" s="25">
        <v>9.8744744378770335</v>
      </c>
    </row>
    <row r="123" spans="1:9" ht="15" customHeight="1" x14ac:dyDescent="0.3">
      <c r="A123" s="35">
        <v>94</v>
      </c>
      <c r="B123" s="35" t="str">
        <v>2010</v>
      </c>
      <c r="C123" s="36" t="str">
        <v>KEMIRI</v>
      </c>
      <c r="D123" s="43">
        <v>508</v>
      </c>
      <c r="E123" s="25">
        <v>1.5477423679239535</v>
      </c>
      <c r="F123" s="43">
        <v>538</v>
      </c>
      <c r="G123" s="25">
        <v>1.6391444762659191</v>
      </c>
      <c r="H123" s="26">
        <v>1046</v>
      </c>
      <c r="I123" s="25">
        <v>3.1868868441898726</v>
      </c>
    </row>
    <row r="124" spans="1:9" ht="15" customHeight="1" x14ac:dyDescent="0.3">
      <c r="A124" s="35">
        <v>95</v>
      </c>
      <c r="B124" s="35" t="str">
        <v>2011</v>
      </c>
      <c r="C124" s="36" t="str">
        <v>KARANGMANGU</v>
      </c>
      <c r="D124" s="43">
        <v>400</v>
      </c>
      <c r="E124" s="25">
        <v>1.2186947778928767</v>
      </c>
      <c r="F124" s="43">
        <v>425</v>
      </c>
      <c r="G124" s="25">
        <v>1.2948632015111814</v>
      </c>
      <c r="H124" s="26">
        <v>825</v>
      </c>
      <c r="I124" s="25">
        <v>2.5135579794040583</v>
      </c>
    </row>
    <row r="125" spans="1:9" ht="15" customHeight="1" x14ac:dyDescent="0.3">
      <c r="A125" s="35">
        <v>96</v>
      </c>
      <c r="B125" s="35" t="str">
        <v>2012</v>
      </c>
      <c r="C125" s="36" t="str">
        <v>WANACIPTA</v>
      </c>
      <c r="D125" s="43">
        <v>250</v>
      </c>
      <c r="E125" s="25">
        <v>0.76168423618304792</v>
      </c>
      <c r="F125" s="43">
        <v>247</v>
      </c>
      <c r="G125" s="25">
        <v>0.75254402534885134</v>
      </c>
      <c r="H125" s="26">
        <v>497</v>
      </c>
      <c r="I125" s="25">
        <v>1.5142282615318994</v>
      </c>
    </row>
    <row r="126" spans="1:9" ht="15" customHeight="1" x14ac:dyDescent="0.3">
      <c r="A126" s="35">
        <v>97</v>
      </c>
      <c r="B126" s="35" t="str">
        <v>2013</v>
      </c>
      <c r="C126" s="36" t="str">
        <v>SIGALUH</v>
      </c>
      <c r="D126" s="43">
        <v>684</v>
      </c>
      <c r="E126" s="25">
        <v>2.0839680701968191</v>
      </c>
      <c r="F126" s="43">
        <v>696</v>
      </c>
      <c r="G126" s="25">
        <v>2.1205289135336054</v>
      </c>
      <c r="H126" s="26">
        <v>1380</v>
      </c>
      <c r="I126" s="25">
        <v>4.2044969837304249</v>
      </c>
    </row>
    <row r="127" spans="1:9" ht="15" customHeight="1" x14ac:dyDescent="0.3">
      <c r="A127" s="35">
        <v>98</v>
      </c>
      <c r="B127" s="35" t="str">
        <v>2014</v>
      </c>
      <c r="C127" s="36" t="str">
        <v>SINGAMERTA</v>
      </c>
      <c r="D127" s="44">
        <v>1222</v>
      </c>
      <c r="E127" s="25">
        <v>3.7231125464627381</v>
      </c>
      <c r="F127" s="44">
        <v>1268</v>
      </c>
      <c r="G127" s="25">
        <v>3.8632624459204195</v>
      </c>
      <c r="H127" s="26">
        <v>2490</v>
      </c>
      <c r="I127" s="25">
        <v>7.5863749923831572</v>
      </c>
    </row>
    <row r="128" spans="1:9" ht="15" customHeight="1" x14ac:dyDescent="0.3">
      <c r="A128" s="79" t="s">
        <v>575</v>
      </c>
      <c r="B128" s="79"/>
      <c r="C128" s="79"/>
      <c r="D128" s="39">
        <f>SUM(D113:D127)</f>
        <v>16560</v>
      </c>
      <c r="E128" s="40">
        <f>D128/$H$128*100</f>
        <v>50.453963804765102</v>
      </c>
      <c r="F128" s="39">
        <f>SUM(F113:F127)</f>
        <v>16262</v>
      </c>
      <c r="G128" s="40">
        <f>F128/$H$128*100</f>
        <v>49.546036195234905</v>
      </c>
      <c r="H128" s="39">
        <f>SUM(H113:H127)</f>
        <v>32822</v>
      </c>
      <c r="I128" s="40">
        <f>H128/$H$128*100</f>
        <v>100</v>
      </c>
    </row>
    <row r="129" spans="1:9" ht="15" customHeight="1" x14ac:dyDescent="0.3">
      <c r="A129" s="80" t="s">
        <v>594</v>
      </c>
      <c r="B129" s="81"/>
      <c r="C129" s="81"/>
      <c r="D129" s="81"/>
      <c r="E129" s="81"/>
      <c r="F129" s="81"/>
      <c r="G129" s="81"/>
      <c r="H129" s="81"/>
      <c r="I129" s="82"/>
    </row>
    <row r="130" spans="1:9" ht="15" customHeight="1" x14ac:dyDescent="0.3">
      <c r="A130" s="76" t="s">
        <v>571</v>
      </c>
      <c r="B130" s="76" t="s">
        <v>586</v>
      </c>
      <c r="C130" s="76"/>
      <c r="D130" s="77" t="s">
        <v>573</v>
      </c>
      <c r="E130" s="77"/>
      <c r="F130" s="77" t="s">
        <v>574</v>
      </c>
      <c r="G130" s="77"/>
      <c r="H130" s="78" t="s">
        <v>575</v>
      </c>
      <c r="I130" s="78"/>
    </row>
    <row r="131" spans="1:9" ht="15" customHeight="1" x14ac:dyDescent="0.3">
      <c r="A131" s="76"/>
      <c r="B131" s="32" t="s">
        <v>576</v>
      </c>
      <c r="C131" s="32" t="s">
        <v>577</v>
      </c>
      <c r="D131" s="33" t="s">
        <v>575</v>
      </c>
      <c r="E131" s="33" t="s">
        <v>578</v>
      </c>
      <c r="F131" s="33" t="s">
        <v>575</v>
      </c>
      <c r="G131" s="33" t="s">
        <v>578</v>
      </c>
      <c r="H131" s="34" t="s">
        <v>587</v>
      </c>
      <c r="I131" s="34" t="s">
        <v>578</v>
      </c>
    </row>
    <row r="132" spans="1:9" ht="15" customHeight="1" x14ac:dyDescent="0.3">
      <c r="A132" s="36">
        <v>99</v>
      </c>
      <c r="B132" s="35" t="str" cm="1">
        <f t="array" ref="B132:B151">RIGHT(_xlfn._xlws.FILTER('AGR_JK_3304_KAB. BANJARNEGARA'!$B$3:$B$300,(LEN('AGR_JK_3304_KAB. BANJARNEGARA'!$B$3:$B$300)=13)*(LEFT('AGR_JK_3304_KAB. BANJARNEGARA'!$B$3:$B$300,8)=MID(A129,13,8))),4)</f>
        <v>1011</v>
      </c>
      <c r="C132" s="36" t="str" cm="1">
        <f t="array" ref="C132:D151">_xlfn._xlws.FILTER('AGR_JK_3304_KAB. BANJARNEGARA'!$C$3:$D$300,(LEN('AGR_JK_3304_KAB. BANJARNEGARA'!$B$3:$B$300)=13)*(LEFT('AGR_JK_3304_KAB. BANJARNEGARA'!$B$3:$B$300,8)=MID(A129,13,8)))</f>
        <v>KENTENG</v>
      </c>
      <c r="D132" s="22">
        <v>1475</v>
      </c>
      <c r="E132" s="25" cm="1">
        <f t="array" ref="E132:E151">D132:D151/$H$152*100</f>
        <v>3.1375635489566269</v>
      </c>
      <c r="F132" s="22" cm="1">
        <f t="array" ref="F132:F151">_xlfn._xlws.FILTER('AGR_JK_3304_KAB. BANJARNEGARA'!$E$3:$E$300,(LEN('AGR_JK_3304_KAB. BANJARNEGARA'!$B$3:$B$300)=13)*(LEFT('AGR_JK_3304_KAB. BANJARNEGARA'!$B$3:$B$300,8)=MID(A129,13,8)))</f>
        <v>1429</v>
      </c>
      <c r="G132" s="25" cm="1">
        <f t="array" ref="G132:G151">F132:F151/$H$152*100</f>
        <v>3.0397141094637425</v>
      </c>
      <c r="H132" s="26" cm="1">
        <f t="array" ref="H132:H151">_xlfn._xlws.FILTER('AGR_JK_3304_KAB. BANJARNEGARA'!$F$3:$F$300,(LEN('AGR_JK_3304_KAB. BANJARNEGARA'!$B$3:$B$300)=13)*(LEFT('AGR_JK_3304_KAB. BANJARNEGARA'!$B$3:$B$300,8)=MID(A129,13,8)))</f>
        <v>2904</v>
      </c>
      <c r="I132" s="25" cm="1">
        <f t="array" ref="I132:I151">H132:H151/$H$152*100</f>
        <v>6.177277658420369</v>
      </c>
    </row>
    <row r="133" spans="1:9" ht="15" customHeight="1" x14ac:dyDescent="0.3">
      <c r="A133" s="36">
        <v>100</v>
      </c>
      <c r="B133" s="35" t="str">
        <v>1012</v>
      </c>
      <c r="C133" s="36" t="str">
        <v>REJASA</v>
      </c>
      <c r="D133" s="43">
        <v>1376</v>
      </c>
      <c r="E133" s="25">
        <v>2.9269745378741145</v>
      </c>
      <c r="F133" s="43">
        <v>1363</v>
      </c>
      <c r="G133" s="25">
        <v>2.8993214354087344</v>
      </c>
      <c r="H133" s="26">
        <v>2739</v>
      </c>
      <c r="I133" s="25">
        <v>5.826295973282849</v>
      </c>
    </row>
    <row r="134" spans="1:9" ht="15" customHeight="1" x14ac:dyDescent="0.3">
      <c r="A134" s="36">
        <v>101</v>
      </c>
      <c r="B134" s="35" t="str">
        <v>2001</v>
      </c>
      <c r="C134" s="36" t="str">
        <v>LIMBANGAN</v>
      </c>
      <c r="D134" s="43">
        <v>904</v>
      </c>
      <c r="E134" s="25">
        <v>1.9229542022079937</v>
      </c>
      <c r="F134" s="43">
        <v>894</v>
      </c>
      <c r="G134" s="25">
        <v>1.9016825849269319</v>
      </c>
      <c r="H134" s="26">
        <v>1798</v>
      </c>
      <c r="I134" s="25">
        <v>3.8246367871349261</v>
      </c>
    </row>
    <row r="135" spans="1:9" ht="15" customHeight="1" x14ac:dyDescent="0.3">
      <c r="A135" s="36">
        <v>102</v>
      </c>
      <c r="B135" s="35" t="str">
        <v>2002</v>
      </c>
      <c r="C135" s="36" t="str">
        <v>PENAWANGAN</v>
      </c>
      <c r="D135" s="43">
        <v>565</v>
      </c>
      <c r="E135" s="25">
        <v>1.2018463763799963</v>
      </c>
      <c r="F135" s="43">
        <v>551</v>
      </c>
      <c r="G135" s="25">
        <v>1.1720661121865095</v>
      </c>
      <c r="H135" s="26">
        <v>1116</v>
      </c>
      <c r="I135" s="25">
        <v>2.3739124885665057</v>
      </c>
    </row>
    <row r="136" spans="1:9" ht="15" customHeight="1" x14ac:dyDescent="0.3">
      <c r="A136" s="36">
        <v>103</v>
      </c>
      <c r="B136" s="35" t="str">
        <v>2003</v>
      </c>
      <c r="C136" s="36" t="str">
        <v>TALUNAMBA</v>
      </c>
      <c r="D136" s="44">
        <v>825</v>
      </c>
      <c r="E136" s="25">
        <v>1.7549084256876051</v>
      </c>
      <c r="F136" s="44">
        <v>829</v>
      </c>
      <c r="G136" s="25">
        <v>1.76341707260003</v>
      </c>
      <c r="H136" s="26">
        <v>1654</v>
      </c>
      <c r="I136" s="25">
        <v>3.5183254982876346</v>
      </c>
    </row>
    <row r="137" spans="1:9" ht="15" customHeight="1" x14ac:dyDescent="0.3">
      <c r="A137" s="36">
        <v>104</v>
      </c>
      <c r="B137" s="35" t="str">
        <v>2004</v>
      </c>
      <c r="C137" s="36" t="str">
        <v>MADUKARA</v>
      </c>
      <c r="D137" s="43">
        <v>1252</v>
      </c>
      <c r="E137" s="25">
        <v>2.6632064835889473</v>
      </c>
      <c r="F137" s="43">
        <v>1189</v>
      </c>
      <c r="G137" s="25">
        <v>2.5291952947182574</v>
      </c>
      <c r="H137" s="26">
        <v>2441</v>
      </c>
      <c r="I137" s="25">
        <v>5.1924017783072047</v>
      </c>
    </row>
    <row r="138" spans="1:9" ht="15" customHeight="1" x14ac:dyDescent="0.3">
      <c r="A138" s="36">
        <v>105</v>
      </c>
      <c r="B138" s="35" t="str">
        <v>2005</v>
      </c>
      <c r="C138" s="36" t="str">
        <v>KUTAYASA</v>
      </c>
      <c r="D138" s="44">
        <v>976</v>
      </c>
      <c r="E138" s="25">
        <v>2.0761098466316392</v>
      </c>
      <c r="F138" s="44">
        <v>994</v>
      </c>
      <c r="G138" s="25">
        <v>2.1143987577375509</v>
      </c>
      <c r="H138" s="26">
        <v>1970</v>
      </c>
      <c r="I138" s="25">
        <v>4.1905086043691897</v>
      </c>
    </row>
    <row r="139" spans="1:9" ht="15" customHeight="1" x14ac:dyDescent="0.3">
      <c r="A139" s="36">
        <v>106</v>
      </c>
      <c r="B139" s="35" t="str">
        <v>2006</v>
      </c>
      <c r="C139" s="36" t="str">
        <v>PEKAUMAN</v>
      </c>
      <c r="D139" s="44">
        <v>896</v>
      </c>
      <c r="E139" s="25">
        <v>1.9059369083831446</v>
      </c>
      <c r="F139" s="44">
        <v>861</v>
      </c>
      <c r="G139" s="25">
        <v>1.831486247899428</v>
      </c>
      <c r="H139" s="26">
        <v>1757</v>
      </c>
      <c r="I139" s="25">
        <v>3.7374231562825724</v>
      </c>
    </row>
    <row r="140" spans="1:9" ht="15" customHeight="1" x14ac:dyDescent="0.3">
      <c r="A140" s="36">
        <v>107</v>
      </c>
      <c r="B140" s="35" t="str">
        <v>2007</v>
      </c>
      <c r="C140" s="36" t="str">
        <v>PAGELAK</v>
      </c>
      <c r="D140" s="43">
        <v>1308</v>
      </c>
      <c r="E140" s="25">
        <v>2.7823275403628935</v>
      </c>
      <c r="F140" s="43">
        <v>1145</v>
      </c>
      <c r="G140" s="25">
        <v>2.4356001786815851</v>
      </c>
      <c r="H140" s="26">
        <v>2453</v>
      </c>
      <c r="I140" s="25">
        <v>5.2179277190444786</v>
      </c>
    </row>
    <row r="141" spans="1:9" ht="15" customHeight="1" x14ac:dyDescent="0.3">
      <c r="A141" s="36">
        <v>108</v>
      </c>
      <c r="B141" s="35" t="str">
        <v>2008</v>
      </c>
      <c r="C141" s="36" t="str">
        <v>DAWUHAN</v>
      </c>
      <c r="D141" s="44">
        <v>1673</v>
      </c>
      <c r="E141" s="25">
        <v>3.5587415711216521</v>
      </c>
      <c r="F141" s="44">
        <v>1628</v>
      </c>
      <c r="G141" s="25">
        <v>3.463019293356874</v>
      </c>
      <c r="H141" s="26">
        <v>3301</v>
      </c>
      <c r="I141" s="25">
        <v>7.0217608644785265</v>
      </c>
    </row>
    <row r="142" spans="1:9" ht="15" customHeight="1" x14ac:dyDescent="0.3">
      <c r="A142" s="36">
        <v>109</v>
      </c>
      <c r="B142" s="35" t="str">
        <v>2009</v>
      </c>
      <c r="C142" s="36" t="str">
        <v>BANTARWARU</v>
      </c>
      <c r="D142" s="43">
        <v>1879</v>
      </c>
      <c r="E142" s="25">
        <v>3.9969368871115267</v>
      </c>
      <c r="F142" s="43">
        <v>1766</v>
      </c>
      <c r="G142" s="25">
        <v>3.7565676118355276</v>
      </c>
      <c r="H142" s="26">
        <v>3645</v>
      </c>
      <c r="I142" s="25">
        <v>7.7535044989470547</v>
      </c>
    </row>
    <row r="143" spans="1:9" ht="15" customHeight="1" x14ac:dyDescent="0.3">
      <c r="A143" s="36">
        <v>110</v>
      </c>
      <c r="B143" s="35" t="str">
        <v>2010</v>
      </c>
      <c r="C143" s="36" t="str">
        <v>SERED</v>
      </c>
      <c r="D143" s="43">
        <v>1047</v>
      </c>
      <c r="E143" s="25">
        <v>2.2271383293271789</v>
      </c>
      <c r="F143" s="43">
        <v>990</v>
      </c>
      <c r="G143" s="25">
        <v>2.105890110825126</v>
      </c>
      <c r="H143" s="26">
        <v>2037</v>
      </c>
      <c r="I143" s="25">
        <v>4.3330284401523045</v>
      </c>
    </row>
    <row r="144" spans="1:9" ht="15" customHeight="1" x14ac:dyDescent="0.3">
      <c r="A144" s="36">
        <v>111</v>
      </c>
      <c r="B144" s="35" t="str">
        <v>2013</v>
      </c>
      <c r="C144" s="36" t="str">
        <v>PETAMBAKAN</v>
      </c>
      <c r="D144" s="43">
        <v>1585</v>
      </c>
      <c r="E144" s="25">
        <v>3.3715513390483078</v>
      </c>
      <c r="F144" s="43">
        <v>1591</v>
      </c>
      <c r="G144" s="25">
        <v>3.3843143094169448</v>
      </c>
      <c r="H144" s="26">
        <v>3176</v>
      </c>
      <c r="I144" s="25">
        <v>6.7558656484652531</v>
      </c>
    </row>
    <row r="145" spans="1:9" ht="15" customHeight="1" x14ac:dyDescent="0.3">
      <c r="A145" s="36">
        <v>112</v>
      </c>
      <c r="B145" s="35" t="str">
        <v>2014</v>
      </c>
      <c r="C145" s="36" t="str">
        <v>RAKITAN</v>
      </c>
      <c r="D145" s="43">
        <v>1438</v>
      </c>
      <c r="E145" s="25">
        <v>3.0588585650166982</v>
      </c>
      <c r="F145" s="43">
        <v>1425</v>
      </c>
      <c r="G145" s="25">
        <v>3.0312054625513176</v>
      </c>
      <c r="H145" s="26">
        <v>2863</v>
      </c>
      <c r="I145" s="25">
        <v>6.0900640275680162</v>
      </c>
    </row>
    <row r="146" spans="1:9" ht="15" customHeight="1" x14ac:dyDescent="0.3">
      <c r="A146" s="36">
        <v>113</v>
      </c>
      <c r="B146" s="35" t="str">
        <v>2015</v>
      </c>
      <c r="C146" s="36" t="str">
        <v>BLITAR</v>
      </c>
      <c r="D146" s="44">
        <v>1125</v>
      </c>
      <c r="E146" s="25">
        <v>2.3930569441194613</v>
      </c>
      <c r="F146" s="44">
        <v>1019</v>
      </c>
      <c r="G146" s="25">
        <v>2.1675778009402054</v>
      </c>
      <c r="H146" s="26">
        <v>2144</v>
      </c>
      <c r="I146" s="25">
        <v>4.5606347450596667</v>
      </c>
    </row>
    <row r="147" spans="1:9" ht="15" customHeight="1" x14ac:dyDescent="0.3">
      <c r="A147" s="36">
        <v>114</v>
      </c>
      <c r="B147" s="35" t="str">
        <v>2016</v>
      </c>
      <c r="C147" s="36" t="str">
        <v>KALIURIP</v>
      </c>
      <c r="D147" s="43">
        <v>1863</v>
      </c>
      <c r="E147" s="25">
        <v>3.9629022994618284</v>
      </c>
      <c r="F147" s="43">
        <v>1778</v>
      </c>
      <c r="G147" s="25">
        <v>3.7820935525728023</v>
      </c>
      <c r="H147" s="26">
        <v>3641</v>
      </c>
      <c r="I147" s="25">
        <v>7.7449958520346307</v>
      </c>
    </row>
    <row r="148" spans="1:9" ht="15" customHeight="1" x14ac:dyDescent="0.3">
      <c r="A148" s="36">
        <v>115</v>
      </c>
      <c r="B148" s="35" t="str">
        <v>2017</v>
      </c>
      <c r="C148" s="36" t="str">
        <v>KARANGANYAR</v>
      </c>
      <c r="D148" s="43">
        <v>478</v>
      </c>
      <c r="E148" s="25">
        <v>1.016783306034758</v>
      </c>
      <c r="F148" s="43">
        <v>471</v>
      </c>
      <c r="G148" s="25">
        <v>1.0018931739380146</v>
      </c>
      <c r="H148" s="26">
        <v>949</v>
      </c>
      <c r="I148" s="25">
        <v>2.0186764799727723</v>
      </c>
    </row>
    <row r="149" spans="1:9" ht="15" customHeight="1" x14ac:dyDescent="0.3">
      <c r="A149" s="36">
        <v>116</v>
      </c>
      <c r="B149" s="35" t="str">
        <v>2018</v>
      </c>
      <c r="C149" s="36" t="str">
        <v>GUNUNGGIANA</v>
      </c>
      <c r="D149" s="43">
        <v>1313</v>
      </c>
      <c r="E149" s="25">
        <v>2.7929633490034247</v>
      </c>
      <c r="F149" s="43">
        <v>1264</v>
      </c>
      <c r="G149" s="25">
        <v>2.6887324243262216</v>
      </c>
      <c r="H149" s="26">
        <v>2577</v>
      </c>
      <c r="I149" s="25">
        <v>5.4816957733296467</v>
      </c>
    </row>
    <row r="150" spans="1:9" ht="15" customHeight="1" x14ac:dyDescent="0.3">
      <c r="A150" s="36">
        <v>117</v>
      </c>
      <c r="B150" s="35" t="str">
        <v>2019</v>
      </c>
      <c r="C150" s="36" t="str">
        <v>CLAPAR</v>
      </c>
      <c r="D150" s="43">
        <v>1179</v>
      </c>
      <c r="E150" s="25">
        <v>2.5079236774371956</v>
      </c>
      <c r="F150" s="22">
        <v>1149</v>
      </c>
      <c r="G150" s="25">
        <v>2.44410882559401</v>
      </c>
      <c r="H150" s="26">
        <v>2328</v>
      </c>
      <c r="I150" s="25">
        <v>4.9520325030312051</v>
      </c>
    </row>
    <row r="151" spans="1:9" ht="15" customHeight="1" x14ac:dyDescent="0.3">
      <c r="A151" s="36">
        <v>118</v>
      </c>
      <c r="B151" s="35" t="str">
        <v>2020</v>
      </c>
      <c r="C151" s="36" t="str">
        <v>PAKELEN</v>
      </c>
      <c r="D151" s="44">
        <v>783</v>
      </c>
      <c r="E151" s="25">
        <v>1.6655676331071452</v>
      </c>
      <c r="F151" s="38">
        <v>735</v>
      </c>
      <c r="G151" s="25">
        <v>1.5634638701580481</v>
      </c>
      <c r="H151" s="26">
        <v>1518</v>
      </c>
      <c r="I151" s="25">
        <v>3.2290315032651931</v>
      </c>
    </row>
    <row r="152" spans="1:9" ht="15" customHeight="1" x14ac:dyDescent="0.3">
      <c r="A152" s="79" t="s">
        <v>575</v>
      </c>
      <c r="B152" s="79"/>
      <c r="C152" s="79"/>
      <c r="D152" s="39">
        <f>SUM(D132:D151)</f>
        <v>23940</v>
      </c>
      <c r="E152" s="40">
        <f>D152/$H$152*100</f>
        <v>50.924251770862142</v>
      </c>
      <c r="F152" s="39">
        <f>SUM(F132:F151)</f>
        <v>23071</v>
      </c>
      <c r="G152" s="40">
        <f>F152/$H$152*100</f>
        <v>49.075748229137858</v>
      </c>
      <c r="H152" s="39">
        <f>SUM(H132:H151)</f>
        <v>47011</v>
      </c>
      <c r="I152" s="40">
        <f>H152/$H$152*100</f>
        <v>100</v>
      </c>
    </row>
    <row r="153" spans="1:9" ht="15" customHeight="1" x14ac:dyDescent="0.3">
      <c r="A153" s="75" t="s">
        <v>595</v>
      </c>
      <c r="B153" s="75"/>
      <c r="C153" s="75"/>
      <c r="D153" s="75"/>
      <c r="E153" s="75"/>
      <c r="F153" s="75"/>
      <c r="G153" s="75"/>
      <c r="H153" s="75"/>
      <c r="I153" s="75"/>
    </row>
    <row r="154" spans="1:9" ht="15" customHeight="1" x14ac:dyDescent="0.3">
      <c r="A154" s="76" t="s">
        <v>571</v>
      </c>
      <c r="B154" s="76" t="s">
        <v>586</v>
      </c>
      <c r="C154" s="76"/>
      <c r="D154" s="77" t="s">
        <v>573</v>
      </c>
      <c r="E154" s="77"/>
      <c r="F154" s="77" t="s">
        <v>574</v>
      </c>
      <c r="G154" s="77"/>
      <c r="H154" s="78" t="s">
        <v>575</v>
      </c>
      <c r="I154" s="78"/>
    </row>
    <row r="155" spans="1:9" ht="15" customHeight="1" x14ac:dyDescent="0.3">
      <c r="A155" s="76"/>
      <c r="B155" s="32" t="s">
        <v>576</v>
      </c>
      <c r="C155" s="32" t="s">
        <v>577</v>
      </c>
      <c r="D155" s="33" t="s">
        <v>575</v>
      </c>
      <c r="E155" s="33" t="s">
        <v>578</v>
      </c>
      <c r="F155" s="33" t="s">
        <v>575</v>
      </c>
      <c r="G155" s="33" t="s">
        <v>578</v>
      </c>
      <c r="H155" s="34" t="s">
        <v>587</v>
      </c>
      <c r="I155" s="34" t="s">
        <v>578</v>
      </c>
    </row>
    <row r="156" spans="1:9" ht="15" customHeight="1" x14ac:dyDescent="0.3">
      <c r="A156" s="35">
        <v>119</v>
      </c>
      <c r="B156" s="35" t="str" cm="1">
        <f t="array" ref="B156:B172">RIGHT(_xlfn._xlws.FILTER('AGR_JK_3304_KAB. BANJARNEGARA'!$B$3:$B$300,(LEN('AGR_JK_3304_KAB. BANJARNEGARA'!$B$3:$B$300)=13)*(LEFT('AGR_JK_3304_KAB. BANJARNEGARA'!$B$3:$B$300,8)=MID(A153,13,8))),4)</f>
        <v>2001</v>
      </c>
      <c r="C156" s="36" t="str" cm="1">
        <f t="array" ref="C156:D172">_xlfn._xlws.FILTER('AGR_JK_3304_KAB. BANJARNEGARA'!$C$3:$D$300,(LEN('AGR_JK_3304_KAB. BANJARNEGARA'!$B$3:$B$300)=13)*(LEFT('AGR_JK_3304_KAB. BANJARNEGARA'!$B$3:$B$300,8)=MID(A153,13,8)))</f>
        <v>JENGGAWUR</v>
      </c>
      <c r="D156" s="22">
        <v>1372</v>
      </c>
      <c r="E156" s="25" cm="1">
        <f t="array" ref="E156:E172">D156:D172/$H$173*100</f>
        <v>2.8896986035931675</v>
      </c>
      <c r="F156" s="22" cm="1">
        <f t="array" ref="F156:F172">_xlfn._xlws.FILTER('AGR_JK_3304_KAB. BANJARNEGARA'!$E$3:$E$300,(LEN('AGR_JK_3304_KAB. BANJARNEGARA'!$B$3:$B$300)=13)*(LEFT('AGR_JK_3304_KAB. BANJARNEGARA'!$B$3:$B$300,8)=MID(A153,13,8)))</f>
        <v>1387</v>
      </c>
      <c r="G156" s="25" cm="1">
        <f t="array" ref="G156:G172">F156:F172/$H$173*100</f>
        <v>2.9212915183554835</v>
      </c>
      <c r="H156" s="26" cm="1">
        <f t="array" ref="H156:H172">_xlfn._xlws.FILTER('AGR_JK_3304_KAB. BANJARNEGARA'!$F$3:$F$300,(LEN('AGR_JK_3304_KAB. BANJARNEGARA'!$B$3:$B$300)=13)*(LEFT('AGR_JK_3304_KAB. BANJARNEGARA'!$B$3:$B$300,8)=MID(A153,13,8)))</f>
        <v>2759</v>
      </c>
      <c r="I156" s="25" cm="1">
        <f t="array" ref="I156:I172">H156:H172/$H$173*100</f>
        <v>5.8109901219486515</v>
      </c>
    </row>
    <row r="157" spans="1:9" ht="15" customHeight="1" x14ac:dyDescent="0.3">
      <c r="A157" s="35">
        <v>120</v>
      </c>
      <c r="B157" s="35" t="str">
        <v>2002</v>
      </c>
      <c r="C157" s="36" t="str">
        <v>BANJARKULON</v>
      </c>
      <c r="D157" s="43">
        <v>1185</v>
      </c>
      <c r="E157" s="25">
        <v>2.4958402662229617</v>
      </c>
      <c r="F157" s="43">
        <v>1164</v>
      </c>
      <c r="G157" s="25">
        <v>2.4516101855557193</v>
      </c>
      <c r="H157" s="26">
        <v>2349</v>
      </c>
      <c r="I157" s="25">
        <v>4.947450451778681</v>
      </c>
    </row>
    <row r="158" spans="1:9" ht="15" customHeight="1" x14ac:dyDescent="0.3">
      <c r="A158" s="35">
        <v>121</v>
      </c>
      <c r="B158" s="35" t="str">
        <v>2003</v>
      </c>
      <c r="C158" s="36" t="str">
        <v>BANJARMANGU</v>
      </c>
      <c r="D158" s="43">
        <v>1754</v>
      </c>
      <c r="E158" s="25">
        <v>3.6942648328734813</v>
      </c>
      <c r="F158" s="43">
        <v>1693</v>
      </c>
      <c r="G158" s="25">
        <v>3.5657869795067292</v>
      </c>
      <c r="H158" s="26">
        <v>3447</v>
      </c>
      <c r="I158" s="25">
        <v>7.26005181238021</v>
      </c>
    </row>
    <row r="159" spans="1:9" ht="15" customHeight="1" x14ac:dyDescent="0.3">
      <c r="A159" s="35">
        <v>122</v>
      </c>
      <c r="B159" s="35" t="str">
        <v>2004</v>
      </c>
      <c r="C159" s="36" t="str">
        <v>REJASARI</v>
      </c>
      <c r="D159" s="43">
        <v>1246</v>
      </c>
      <c r="E159" s="25">
        <v>2.6243181195897134</v>
      </c>
      <c r="F159" s="43">
        <v>1138</v>
      </c>
      <c r="G159" s="25">
        <v>2.3968491333010387</v>
      </c>
      <c r="H159" s="26">
        <v>2384</v>
      </c>
      <c r="I159" s="25">
        <v>5.0211672528907512</v>
      </c>
    </row>
    <row r="160" spans="1:9" ht="15" customHeight="1" x14ac:dyDescent="0.3">
      <c r="A160" s="35">
        <v>123</v>
      </c>
      <c r="B160" s="35" t="str">
        <v>2005</v>
      </c>
      <c r="C160" s="36" t="str">
        <v>KESENET</v>
      </c>
      <c r="D160" s="44">
        <v>2113</v>
      </c>
      <c r="E160" s="25">
        <v>4.4503885928515761</v>
      </c>
      <c r="F160" s="44">
        <v>2078</v>
      </c>
      <c r="G160" s="25">
        <v>4.3766717917395059</v>
      </c>
      <c r="H160" s="26">
        <v>4191</v>
      </c>
      <c r="I160" s="25">
        <v>8.8270603845910838</v>
      </c>
    </row>
    <row r="161" spans="1:9" ht="15" customHeight="1" x14ac:dyDescent="0.3">
      <c r="A161" s="35">
        <v>124</v>
      </c>
      <c r="B161" s="35" t="str">
        <v>2006</v>
      </c>
      <c r="C161" s="36" t="str">
        <v>KALILUNJAR</v>
      </c>
      <c r="D161" s="43">
        <v>1557</v>
      </c>
      <c r="E161" s="25">
        <v>3.2793445523283977</v>
      </c>
      <c r="F161" s="43">
        <v>1479</v>
      </c>
      <c r="G161" s="25">
        <v>3.1150613955643549</v>
      </c>
      <c r="H161" s="26">
        <v>3036</v>
      </c>
      <c r="I161" s="25">
        <v>6.3944059478927517</v>
      </c>
    </row>
    <row r="162" spans="1:9" ht="15" customHeight="1" x14ac:dyDescent="0.3">
      <c r="A162" s="35">
        <v>125</v>
      </c>
      <c r="B162" s="35" t="str">
        <v>2007</v>
      </c>
      <c r="C162" s="36" t="str">
        <v>SIJERUK</v>
      </c>
      <c r="D162" s="44">
        <v>1228</v>
      </c>
      <c r="E162" s="25">
        <v>2.5864066218749344</v>
      </c>
      <c r="F162" s="44">
        <v>1144</v>
      </c>
      <c r="G162" s="25">
        <v>2.4094862992059647</v>
      </c>
      <c r="H162" s="26">
        <v>2372</v>
      </c>
      <c r="I162" s="25">
        <v>4.9958929210808991</v>
      </c>
    </row>
    <row r="163" spans="1:9" ht="15" customHeight="1" x14ac:dyDescent="0.3">
      <c r="A163" s="35">
        <v>126</v>
      </c>
      <c r="B163" s="35" t="str">
        <v>2008</v>
      </c>
      <c r="C163" s="36" t="str">
        <v>KENDAGA</v>
      </c>
      <c r="D163" s="44">
        <v>2032</v>
      </c>
      <c r="E163" s="25">
        <v>4.2797868531350698</v>
      </c>
      <c r="F163" s="44">
        <v>1856</v>
      </c>
      <c r="G163" s="25">
        <v>3.9090966532572295</v>
      </c>
      <c r="H163" s="26">
        <v>3888</v>
      </c>
      <c r="I163" s="25">
        <v>8.1888835063922993</v>
      </c>
    </row>
    <row r="164" spans="1:9" ht="15" customHeight="1" x14ac:dyDescent="0.3">
      <c r="A164" s="35">
        <v>127</v>
      </c>
      <c r="B164" s="35" t="str">
        <v>2009</v>
      </c>
      <c r="C164" s="36" t="str">
        <v>GRIPIT</v>
      </c>
      <c r="D164" s="43">
        <v>577</v>
      </c>
      <c r="E164" s="25">
        <v>1.2152741211904212</v>
      </c>
      <c r="F164" s="43">
        <v>588</v>
      </c>
      <c r="G164" s="25">
        <v>1.2384422586827861</v>
      </c>
      <c r="H164" s="26">
        <v>1165</v>
      </c>
      <c r="I164" s="25">
        <v>2.4537163798732071</v>
      </c>
    </row>
    <row r="165" spans="1:9" ht="15" customHeight="1" x14ac:dyDescent="0.3">
      <c r="A165" s="35">
        <v>128</v>
      </c>
      <c r="B165" s="35" t="str">
        <v>2010</v>
      </c>
      <c r="C165" s="36" t="str">
        <v>PEKANDANGAN</v>
      </c>
      <c r="D165" s="44">
        <v>1215</v>
      </c>
      <c r="E165" s="25">
        <v>2.5590260957475937</v>
      </c>
      <c r="F165" s="44">
        <v>1165</v>
      </c>
      <c r="G165" s="25">
        <v>2.4537163798732071</v>
      </c>
      <c r="H165" s="26">
        <v>2380</v>
      </c>
      <c r="I165" s="25">
        <v>5.0127424756208008</v>
      </c>
    </row>
    <row r="166" spans="1:9" ht="15" customHeight="1" x14ac:dyDescent="0.3">
      <c r="A166" s="35">
        <v>129</v>
      </c>
      <c r="B166" s="35" t="str">
        <v>2011</v>
      </c>
      <c r="C166" s="36" t="str">
        <v>SIGEBLOG</v>
      </c>
      <c r="D166" s="43">
        <v>2202</v>
      </c>
      <c r="E166" s="25">
        <v>4.6378398871079849</v>
      </c>
      <c r="F166" s="43">
        <v>2010</v>
      </c>
      <c r="G166" s="25">
        <v>4.2334505781503395</v>
      </c>
      <c r="H166" s="26">
        <v>4212</v>
      </c>
      <c r="I166" s="25">
        <v>8.8712904652583244</v>
      </c>
    </row>
    <row r="167" spans="1:9" ht="15" customHeight="1" x14ac:dyDescent="0.3">
      <c r="A167" s="35">
        <v>130</v>
      </c>
      <c r="B167" s="35" t="str">
        <v>2012</v>
      </c>
      <c r="C167" s="36" t="str">
        <v>PASEH</v>
      </c>
      <c r="D167" s="43">
        <v>1572</v>
      </c>
      <c r="E167" s="25">
        <v>3.3109374670907141</v>
      </c>
      <c r="F167" s="43">
        <v>1481</v>
      </c>
      <c r="G167" s="25">
        <v>3.1192737841993301</v>
      </c>
      <c r="H167" s="26">
        <v>3053</v>
      </c>
      <c r="I167" s="25">
        <v>6.4302112512900438</v>
      </c>
    </row>
    <row r="168" spans="1:9" ht="15" customHeight="1" x14ac:dyDescent="0.3">
      <c r="A168" s="35">
        <v>131</v>
      </c>
      <c r="B168" s="35" t="str">
        <v>2013</v>
      </c>
      <c r="C168" s="36" t="str">
        <v>SIPEDANG</v>
      </c>
      <c r="D168" s="43">
        <v>2069</v>
      </c>
      <c r="E168" s="25">
        <v>4.3577160428821164</v>
      </c>
      <c r="F168" s="43">
        <v>1936</v>
      </c>
      <c r="G168" s="25">
        <v>4.077592198656248</v>
      </c>
      <c r="H168" s="26">
        <v>4005</v>
      </c>
      <c r="I168" s="25">
        <v>8.4353082415383636</v>
      </c>
    </row>
    <row r="169" spans="1:9" ht="15" customHeight="1" x14ac:dyDescent="0.3">
      <c r="A169" s="35">
        <v>132</v>
      </c>
      <c r="B169" s="35" t="str">
        <v>2014</v>
      </c>
      <c r="C169" s="36" t="str">
        <v>SIJENGGUNG</v>
      </c>
      <c r="D169" s="43">
        <v>942</v>
      </c>
      <c r="E169" s="25">
        <v>1.9840350470734429</v>
      </c>
      <c r="F169" s="43">
        <v>950</v>
      </c>
      <c r="G169" s="25">
        <v>2.000884601613345</v>
      </c>
      <c r="H169" s="26">
        <v>1892</v>
      </c>
      <c r="I169" s="25">
        <v>3.9849196486867875</v>
      </c>
    </row>
    <row r="170" spans="1:9" ht="15" customHeight="1" x14ac:dyDescent="0.3">
      <c r="A170" s="35">
        <v>133</v>
      </c>
      <c r="B170" s="35" t="str">
        <v>2015</v>
      </c>
      <c r="C170" s="36" t="str">
        <v>BEJI</v>
      </c>
      <c r="D170" s="44">
        <v>1461</v>
      </c>
      <c r="E170" s="25">
        <v>3.0771498978495755</v>
      </c>
      <c r="F170" s="44">
        <v>1437</v>
      </c>
      <c r="G170" s="25">
        <v>3.02660123422987</v>
      </c>
      <c r="H170" s="26">
        <v>2898</v>
      </c>
      <c r="I170" s="25">
        <v>6.103751132079446</v>
      </c>
    </row>
    <row r="171" spans="1:9" ht="15" customHeight="1" x14ac:dyDescent="0.3">
      <c r="A171" s="35">
        <v>134</v>
      </c>
      <c r="B171" s="35" t="str">
        <v>2016</v>
      </c>
      <c r="C171" s="36" t="str">
        <v>PRENDENGAN</v>
      </c>
      <c r="D171" s="22">
        <v>1227</v>
      </c>
      <c r="E171" s="46">
        <v>2.5843004275574466</v>
      </c>
      <c r="F171" s="22">
        <v>1133</v>
      </c>
      <c r="G171" s="46">
        <v>2.3863181617135996</v>
      </c>
      <c r="H171" s="26">
        <v>2360</v>
      </c>
      <c r="I171" s="46">
        <v>4.9706185892710462</v>
      </c>
    </row>
    <row r="172" spans="1:9" ht="15" customHeight="1" x14ac:dyDescent="0.3">
      <c r="A172" s="35">
        <v>135</v>
      </c>
      <c r="B172" s="35" t="str">
        <v>2017</v>
      </c>
      <c r="C172" s="36" t="str">
        <v>MAJATENGAH</v>
      </c>
      <c r="D172" s="38">
        <v>551</v>
      </c>
      <c r="E172" s="46">
        <v>1.1605130689357399</v>
      </c>
      <c r="F172" s="38">
        <v>537</v>
      </c>
      <c r="G172" s="46">
        <v>1.1310263484909118</v>
      </c>
      <c r="H172" s="26">
        <v>1088</v>
      </c>
      <c r="I172" s="46">
        <v>2.2915394174266517</v>
      </c>
    </row>
    <row r="173" spans="1:9" ht="15" customHeight="1" x14ac:dyDescent="0.3">
      <c r="A173" s="79" t="s">
        <v>575</v>
      </c>
      <c r="B173" s="79"/>
      <c r="C173" s="79"/>
      <c r="D173" s="39">
        <f>SUM(D156:D172)</f>
        <v>24303</v>
      </c>
      <c r="E173" s="40">
        <f>D173/$H$173*100</f>
        <v>51.186840497904342</v>
      </c>
      <c r="F173" s="39">
        <f>SUM(F156:F172)</f>
        <v>23176</v>
      </c>
      <c r="G173" s="40">
        <f>F173/$H$173*100</f>
        <v>48.813159502095665</v>
      </c>
      <c r="H173" s="39">
        <f>SUM(H156:H172)</f>
        <v>47479</v>
      </c>
      <c r="I173" s="40">
        <f>H173/$H$173*100</f>
        <v>100</v>
      </c>
    </row>
    <row r="174" spans="1:9" ht="15" customHeight="1" x14ac:dyDescent="0.3">
      <c r="A174" s="75" t="s">
        <v>596</v>
      </c>
      <c r="B174" s="75"/>
      <c r="C174" s="75"/>
      <c r="D174" s="75"/>
      <c r="E174" s="75"/>
      <c r="F174" s="75"/>
      <c r="G174" s="75"/>
      <c r="H174" s="75"/>
      <c r="I174" s="75"/>
    </row>
    <row r="175" spans="1:9" ht="15" customHeight="1" x14ac:dyDescent="0.3">
      <c r="A175" s="76" t="s">
        <v>571</v>
      </c>
      <c r="B175" s="76" t="s">
        <v>586</v>
      </c>
      <c r="C175" s="76"/>
      <c r="D175" s="77" t="s">
        <v>573</v>
      </c>
      <c r="E175" s="77"/>
      <c r="F175" s="77" t="s">
        <v>574</v>
      </c>
      <c r="G175" s="77"/>
      <c r="H175" s="78" t="s">
        <v>575</v>
      </c>
      <c r="I175" s="78"/>
    </row>
    <row r="176" spans="1:9" ht="15" customHeight="1" x14ac:dyDescent="0.3">
      <c r="A176" s="76"/>
      <c r="B176" s="32" t="s">
        <v>576</v>
      </c>
      <c r="C176" s="32" t="s">
        <v>577</v>
      </c>
      <c r="D176" s="33" t="s">
        <v>575</v>
      </c>
      <c r="E176" s="33" t="s">
        <v>578</v>
      </c>
      <c r="F176" s="33" t="s">
        <v>575</v>
      </c>
      <c r="G176" s="33" t="s">
        <v>578</v>
      </c>
      <c r="H176" s="34" t="s">
        <v>587</v>
      </c>
      <c r="I176" s="34" t="s">
        <v>578</v>
      </c>
    </row>
    <row r="177" spans="1:9" ht="15" customHeight="1" x14ac:dyDescent="0.3">
      <c r="A177" s="35">
        <v>136</v>
      </c>
      <c r="B177" s="35" t="str" cm="1">
        <f t="array" ref="B177:B187">RIGHT(_xlfn._xlws.FILTER('AGR_JK_3304_KAB. BANJARNEGARA'!$B$3:$B$300,(LEN('AGR_JK_3304_KAB. BANJARNEGARA'!$B$3:$B$300)=13)*(LEFT('AGR_JK_3304_KAB. BANJARNEGARA'!$B$3:$B$300,8)=MID(A174,13,8))),4)</f>
        <v>2001</v>
      </c>
      <c r="C177" s="36" t="str" cm="1">
        <f t="array" ref="C177:D187">_xlfn._xlws.FILTER('AGR_JK_3304_KAB. BANJARNEGARA'!$C$3:$D$300,(LEN('AGR_JK_3304_KAB. BANJARNEGARA'!$B$3:$B$300)=13)*(LEFT('AGR_JK_3304_KAB. BANJARNEGARA'!$B$3:$B$300,8)=MID(A174,13,8)))</f>
        <v>KASILIB</v>
      </c>
      <c r="D177" s="22">
        <v>1410</v>
      </c>
      <c r="E177" s="25" cm="1">
        <f t="array" ref="E177:E187">D177:D187/$H$188*100</f>
        <v>3.9857530529172318</v>
      </c>
      <c r="F177" s="22" cm="1">
        <f t="array" ref="F177:F187">_xlfn._xlws.FILTER('AGR_JK_3304_KAB. BANJARNEGARA'!$E$3:$E$300,(LEN('AGR_JK_3304_KAB. BANJARNEGARA'!$B$3:$B$300)=13)*(LEFT('AGR_JK_3304_KAB. BANJARNEGARA'!$B$3:$B$300,8)=MID(A174,13,8)))</f>
        <v>1386</v>
      </c>
      <c r="G177" s="25" cm="1">
        <f t="array" ref="G177:G187">F177:F187/$H$188*100</f>
        <v>3.9179104477611943</v>
      </c>
      <c r="H177" s="26" cm="1">
        <f t="array" ref="H177:H187">_xlfn._xlws.FILTER('AGR_JK_3304_KAB. BANJARNEGARA'!$F$3:$F$300,(LEN('AGR_JK_3304_KAB. BANJARNEGARA'!$B$3:$B$300)=13)*(LEFT('AGR_JK_3304_KAB. BANJARNEGARA'!$B$3:$B$300,8)=MID(A174,13,8)))</f>
        <v>2796</v>
      </c>
      <c r="I177" s="25" cm="1">
        <f t="array" ref="I177:I187">H177:H187/$H$188*100</f>
        <v>7.9036635006784266</v>
      </c>
    </row>
    <row r="178" spans="1:9" ht="15" customHeight="1" x14ac:dyDescent="0.3">
      <c r="A178" s="35">
        <v>137</v>
      </c>
      <c r="B178" s="35" t="str">
        <v>2002</v>
      </c>
      <c r="C178" s="36" t="str">
        <v>TAPEN</v>
      </c>
      <c r="D178" s="43">
        <v>1243</v>
      </c>
      <c r="E178" s="25">
        <v>3.5136815920398008</v>
      </c>
      <c r="F178" s="43">
        <v>1315</v>
      </c>
      <c r="G178" s="25">
        <v>3.7172094075079145</v>
      </c>
      <c r="H178" s="26">
        <v>2558</v>
      </c>
      <c r="I178" s="25">
        <v>7.2308909995477162</v>
      </c>
    </row>
    <row r="179" spans="1:9" ht="15" customHeight="1" x14ac:dyDescent="0.3">
      <c r="A179" s="35">
        <v>138</v>
      </c>
      <c r="B179" s="35" t="str">
        <v>2003</v>
      </c>
      <c r="C179" s="36" t="str">
        <v>KARANGJAMBE</v>
      </c>
      <c r="D179" s="43">
        <v>1081</v>
      </c>
      <c r="E179" s="25">
        <v>3.0557440072365445</v>
      </c>
      <c r="F179" s="43">
        <v>1091</v>
      </c>
      <c r="G179" s="25">
        <v>3.0840117593848935</v>
      </c>
      <c r="H179" s="26">
        <v>2172</v>
      </c>
      <c r="I179" s="25">
        <v>6.1397557666214384</v>
      </c>
    </row>
    <row r="180" spans="1:9" ht="15" customHeight="1" x14ac:dyDescent="0.3">
      <c r="A180" s="35">
        <v>139</v>
      </c>
      <c r="B180" s="35" t="str">
        <v>2004</v>
      </c>
      <c r="C180" s="36" t="str">
        <v>WANADADI</v>
      </c>
      <c r="D180" s="43">
        <v>1665</v>
      </c>
      <c r="E180" s="25">
        <v>4.7065807327001359</v>
      </c>
      <c r="F180" s="43">
        <v>1703</v>
      </c>
      <c r="G180" s="25">
        <v>4.8139981908638632</v>
      </c>
      <c r="H180" s="26">
        <v>3368</v>
      </c>
      <c r="I180" s="25">
        <v>9.5205789235639973</v>
      </c>
    </row>
    <row r="181" spans="1:9" ht="15" customHeight="1" x14ac:dyDescent="0.3">
      <c r="A181" s="35">
        <v>140</v>
      </c>
      <c r="B181" s="35" t="str">
        <v>2005</v>
      </c>
      <c r="C181" s="36" t="str">
        <v>WANAKARSA</v>
      </c>
      <c r="D181" s="44">
        <v>1771</v>
      </c>
      <c r="E181" s="25">
        <v>5.0062189054726369</v>
      </c>
      <c r="F181" s="44">
        <v>1686</v>
      </c>
      <c r="G181" s="25">
        <v>4.765943012211669</v>
      </c>
      <c r="H181" s="26">
        <v>3457</v>
      </c>
      <c r="I181" s="25">
        <v>9.772161917684306</v>
      </c>
    </row>
    <row r="182" spans="1:9" ht="15" customHeight="1" x14ac:dyDescent="0.3">
      <c r="A182" s="35">
        <v>141</v>
      </c>
      <c r="B182" s="35" t="str">
        <v>2006</v>
      </c>
      <c r="C182" s="36" t="str">
        <v>LEMAHJAYA</v>
      </c>
      <c r="D182" s="43">
        <v>3162</v>
      </c>
      <c r="E182" s="25">
        <v>8.9382632293080047</v>
      </c>
      <c r="F182" s="43">
        <v>2987</v>
      </c>
      <c r="G182" s="25">
        <v>8.4435775667118946</v>
      </c>
      <c r="H182" s="26">
        <v>6149</v>
      </c>
      <c r="I182" s="25">
        <v>17.381840796019901</v>
      </c>
    </row>
    <row r="183" spans="1:9" ht="15" customHeight="1" x14ac:dyDescent="0.3">
      <c r="A183" s="35">
        <v>142</v>
      </c>
      <c r="B183" s="35" t="str">
        <v>2007</v>
      </c>
      <c r="C183" s="36" t="str">
        <v>KARANGKEMIRI</v>
      </c>
      <c r="D183" s="44">
        <v>1625</v>
      </c>
      <c r="E183" s="25">
        <v>4.5935097241067391</v>
      </c>
      <c r="F183" s="44">
        <v>1549</v>
      </c>
      <c r="G183" s="25">
        <v>4.3786748077792854</v>
      </c>
      <c r="H183" s="26">
        <v>3174</v>
      </c>
      <c r="I183" s="25">
        <v>8.9721845318860236</v>
      </c>
    </row>
    <row r="184" spans="1:9" ht="15" customHeight="1" x14ac:dyDescent="0.3">
      <c r="A184" s="35">
        <v>143</v>
      </c>
      <c r="B184" s="35" t="str">
        <v>2008</v>
      </c>
      <c r="C184" s="36" t="str">
        <v>KANDANGWANGI</v>
      </c>
      <c r="D184" s="44">
        <v>1966</v>
      </c>
      <c r="E184" s="25">
        <v>5.5574400723654449</v>
      </c>
      <c r="F184" s="44">
        <v>1919</v>
      </c>
      <c r="G184" s="25">
        <v>5.4245816372682043</v>
      </c>
      <c r="H184" s="26">
        <v>3885</v>
      </c>
      <c r="I184" s="25">
        <v>10.982021709633651</v>
      </c>
    </row>
    <row r="185" spans="1:9" ht="15" customHeight="1" x14ac:dyDescent="0.3">
      <c r="A185" s="35">
        <v>144</v>
      </c>
      <c r="B185" s="35" t="str">
        <v>2009</v>
      </c>
      <c r="C185" s="36" t="str">
        <v>MEDAYU</v>
      </c>
      <c r="D185" s="43">
        <v>1537</v>
      </c>
      <c r="E185" s="25">
        <v>4.3447535052012665</v>
      </c>
      <c r="F185" s="43">
        <v>1542</v>
      </c>
      <c r="G185" s="25">
        <v>4.3588873812754416</v>
      </c>
      <c r="H185" s="26">
        <v>3079</v>
      </c>
      <c r="I185" s="25">
        <v>8.7036408864767072</v>
      </c>
    </row>
    <row r="186" spans="1:9" ht="15" customHeight="1" x14ac:dyDescent="0.3">
      <c r="A186" s="35">
        <v>145</v>
      </c>
      <c r="B186" s="35" t="str">
        <v>2010</v>
      </c>
      <c r="C186" s="36" t="str">
        <v>LINGGASARI</v>
      </c>
      <c r="D186" s="44">
        <v>1528</v>
      </c>
      <c r="E186" s="25">
        <v>4.3193125282677522</v>
      </c>
      <c r="F186" s="44">
        <v>1490</v>
      </c>
      <c r="G186" s="25">
        <v>4.2118950701040259</v>
      </c>
      <c r="H186" s="26">
        <v>3018</v>
      </c>
      <c r="I186" s="25">
        <v>8.5312075983717772</v>
      </c>
    </row>
    <row r="187" spans="1:9" ht="15" customHeight="1" x14ac:dyDescent="0.3">
      <c r="A187" s="35">
        <v>146</v>
      </c>
      <c r="B187" s="35" t="str">
        <v>2011</v>
      </c>
      <c r="C187" s="36" t="str">
        <v>GUMINGSIR</v>
      </c>
      <c r="D187" s="43">
        <v>879</v>
      </c>
      <c r="E187" s="25">
        <v>2.4847354138398914</v>
      </c>
      <c r="F187" s="43">
        <v>841</v>
      </c>
      <c r="G187" s="25">
        <v>2.3773179556761646</v>
      </c>
      <c r="H187" s="26">
        <v>1720</v>
      </c>
      <c r="I187" s="25">
        <v>4.8620533695160564</v>
      </c>
    </row>
    <row r="188" spans="1:9" ht="15" customHeight="1" x14ac:dyDescent="0.3">
      <c r="A188" s="79" t="s">
        <v>575</v>
      </c>
      <c r="B188" s="79"/>
      <c r="C188" s="79"/>
      <c r="D188" s="39">
        <f>SUM(D177:D187)</f>
        <v>17867</v>
      </c>
      <c r="E188" s="40">
        <f>D188/$H$188*100</f>
        <v>50.505992763455453</v>
      </c>
      <c r="F188" s="39">
        <f>SUM(F177:F187)</f>
        <v>17509</v>
      </c>
      <c r="G188" s="40">
        <f>F188/$H$188*100</f>
        <v>49.494007236544554</v>
      </c>
      <c r="H188" s="39">
        <f>SUM(H177:H187)</f>
        <v>35376</v>
      </c>
      <c r="I188" s="40">
        <f>H188/$H$188*100</f>
        <v>100</v>
      </c>
    </row>
    <row r="189" spans="1:9" ht="15" customHeight="1" x14ac:dyDescent="0.3">
      <c r="A189" s="75" t="s">
        <v>597</v>
      </c>
      <c r="B189" s="75"/>
      <c r="C189" s="75"/>
      <c r="D189" s="75"/>
      <c r="E189" s="75"/>
      <c r="F189" s="75"/>
      <c r="G189" s="75"/>
      <c r="H189" s="75"/>
      <c r="I189" s="75"/>
    </row>
    <row r="190" spans="1:9" ht="15" customHeight="1" x14ac:dyDescent="0.3">
      <c r="A190" s="76" t="s">
        <v>571</v>
      </c>
      <c r="B190" s="76" t="s">
        <v>586</v>
      </c>
      <c r="C190" s="76"/>
      <c r="D190" s="77" t="s">
        <v>573</v>
      </c>
      <c r="E190" s="77"/>
      <c r="F190" s="77" t="s">
        <v>574</v>
      </c>
      <c r="G190" s="77"/>
      <c r="H190" s="78" t="s">
        <v>575</v>
      </c>
      <c r="I190" s="78"/>
    </row>
    <row r="191" spans="1:9" ht="15" customHeight="1" x14ac:dyDescent="0.3">
      <c r="A191" s="76"/>
      <c r="B191" s="32" t="s">
        <v>576</v>
      </c>
      <c r="C191" s="32" t="s">
        <v>577</v>
      </c>
      <c r="D191" s="33" t="s">
        <v>575</v>
      </c>
      <c r="E191" s="33" t="s">
        <v>578</v>
      </c>
      <c r="F191" s="33" t="s">
        <v>575</v>
      </c>
      <c r="G191" s="33" t="s">
        <v>578</v>
      </c>
      <c r="H191" s="34" t="s">
        <v>587</v>
      </c>
      <c r="I191" s="34" t="s">
        <v>578</v>
      </c>
    </row>
    <row r="192" spans="1:9" ht="15" customHeight="1" x14ac:dyDescent="0.3">
      <c r="A192" s="35">
        <v>147</v>
      </c>
      <c r="B192" s="35" t="str" cm="1">
        <f t="array" ref="B192:B202">RIGHT(_xlfn._xlws.FILTER('AGR_JK_3304_KAB. BANJARNEGARA'!$B$3:$B$300,(LEN('AGR_JK_3304_KAB. BANJARNEGARA'!$B$3:$B$300)=13)*(LEFT('AGR_JK_3304_KAB. BANJARNEGARA'!$B$3:$B$300,8)=MID(A189,13,8))),4)</f>
        <v>2001</v>
      </c>
      <c r="C192" s="36" t="str" cm="1">
        <f t="array" ref="C192:D202">_xlfn._xlws.FILTER('AGR_JK_3304_KAB. BANJARNEGARA'!$C$3:$D$300,(LEN('AGR_JK_3304_KAB. BANJARNEGARA'!$B$3:$B$300)=13)*(LEFT('AGR_JK_3304_KAB. BANJARNEGARA'!$B$3:$B$300,8)=MID(A189,13,8)))</f>
        <v>PINGIT</v>
      </c>
      <c r="D192" s="22">
        <v>3178</v>
      </c>
      <c r="E192" s="25" cm="1">
        <f t="array" ref="E192:E202">D192:D202/$H$203*100</f>
        <v>5.6339526308325061</v>
      </c>
      <c r="F192" s="22" cm="1">
        <f t="array" ref="F192:F202">_xlfn._xlws.FILTER('AGR_JK_3304_KAB. BANJARNEGARA'!$E$3:$E$300,(LEN('AGR_JK_3304_KAB. BANJARNEGARA'!$B$3:$B$300)=13)*(LEFT('AGR_JK_3304_KAB. BANJARNEGARA'!$B$3:$B$300,8)=MID(A189,13,8)))</f>
        <v>3194</v>
      </c>
      <c r="G192" s="25" cm="1">
        <f t="array" ref="G192:G202">F192:F202/$H$203*100</f>
        <v>5.6623174017869804</v>
      </c>
      <c r="H192" s="26" cm="1">
        <f t="array" ref="H192:H202">_xlfn._xlws.FILTER('AGR_JK_3304_KAB. BANJARNEGARA'!$F$3:$F$300,(LEN('AGR_JK_3304_KAB. BANJARNEGARA'!$B$3:$B$300)=13)*(LEFT('AGR_JK_3304_KAB. BANJARNEGARA'!$B$3:$B$300,8)=MID(A189,13,8)))</f>
        <v>6372</v>
      </c>
      <c r="I192" s="25" cm="1">
        <f t="array" ref="I192:I202">H192:H202/$H$203*100</f>
        <v>11.296270032619486</v>
      </c>
    </row>
    <row r="193" spans="1:9" ht="15" customHeight="1" x14ac:dyDescent="0.3">
      <c r="A193" s="35">
        <v>148</v>
      </c>
      <c r="B193" s="35" t="str">
        <v>2002</v>
      </c>
      <c r="C193" s="36" t="str">
        <v>SITUWANGI</v>
      </c>
      <c r="D193" s="43">
        <v>3401</v>
      </c>
      <c r="E193" s="25">
        <v>6.0292866260104949</v>
      </c>
      <c r="F193" s="43">
        <v>3126</v>
      </c>
      <c r="G193" s="25">
        <v>5.5417671252304634</v>
      </c>
      <c r="H193" s="26">
        <v>6527</v>
      </c>
      <c r="I193" s="25">
        <v>11.571053751240958</v>
      </c>
    </row>
    <row r="194" spans="1:9" ht="15" customHeight="1" x14ac:dyDescent="0.3">
      <c r="A194" s="35">
        <v>149</v>
      </c>
      <c r="B194" s="35" t="str">
        <v>2003</v>
      </c>
      <c r="C194" s="36" t="str">
        <v>GELANG</v>
      </c>
      <c r="D194" s="43">
        <v>2427</v>
      </c>
      <c r="E194" s="25">
        <v>4.3025811941568568</v>
      </c>
      <c r="F194" s="43">
        <v>2365</v>
      </c>
      <c r="G194" s="25">
        <v>4.192667706708268</v>
      </c>
      <c r="H194" s="26">
        <v>4792</v>
      </c>
      <c r="I194" s="25">
        <v>8.4952489008651249</v>
      </c>
    </row>
    <row r="195" spans="1:9" ht="15" customHeight="1" x14ac:dyDescent="0.3">
      <c r="A195" s="35">
        <v>150</v>
      </c>
      <c r="B195" s="35" t="str">
        <v>2004</v>
      </c>
      <c r="C195" s="36" t="str">
        <v>RAKIT</v>
      </c>
      <c r="D195" s="43">
        <v>2471</v>
      </c>
      <c r="E195" s="25">
        <v>4.3805843142816627</v>
      </c>
      <c r="F195" s="43">
        <v>2367</v>
      </c>
      <c r="G195" s="25">
        <v>4.1962133030775775</v>
      </c>
      <c r="H195" s="26">
        <v>4838</v>
      </c>
      <c r="I195" s="25">
        <v>8.5767976173592402</v>
      </c>
    </row>
    <row r="196" spans="1:9" ht="15" customHeight="1" x14ac:dyDescent="0.3">
      <c r="A196" s="35">
        <v>151</v>
      </c>
      <c r="B196" s="35" t="str">
        <v>2005</v>
      </c>
      <c r="C196" s="36" t="str">
        <v>ADIPASIR</v>
      </c>
      <c r="D196" s="44">
        <v>3303</v>
      </c>
      <c r="E196" s="25">
        <v>5.8555524039143378</v>
      </c>
      <c r="F196" s="44">
        <v>3282</v>
      </c>
      <c r="G196" s="25">
        <v>5.8183236420365905</v>
      </c>
      <c r="H196" s="26">
        <v>6585</v>
      </c>
      <c r="I196" s="25">
        <v>11.673876045950928</v>
      </c>
    </row>
    <row r="197" spans="1:9" ht="15" customHeight="1" x14ac:dyDescent="0.3">
      <c r="A197" s="35">
        <v>152</v>
      </c>
      <c r="B197" s="35" t="str">
        <v>2006</v>
      </c>
      <c r="C197" s="36" t="str">
        <v>BANDINGAN</v>
      </c>
      <c r="D197" s="43">
        <v>2405</v>
      </c>
      <c r="E197" s="25">
        <v>4.2635796340944543</v>
      </c>
      <c r="F197" s="43">
        <v>2447</v>
      </c>
      <c r="G197" s="25">
        <v>4.3380371578499508</v>
      </c>
      <c r="H197" s="26">
        <v>4852</v>
      </c>
      <c r="I197" s="25">
        <v>8.6016167919444051</v>
      </c>
    </row>
    <row r="198" spans="1:9" ht="15" customHeight="1" x14ac:dyDescent="0.3">
      <c r="A198" s="35">
        <v>153</v>
      </c>
      <c r="B198" s="35" t="str">
        <v>2007</v>
      </c>
      <c r="C198" s="36" t="str">
        <v>KINCANG</v>
      </c>
      <c r="D198" s="44">
        <v>2241</v>
      </c>
      <c r="E198" s="25">
        <v>3.9728407318110905</v>
      </c>
      <c r="F198" s="44">
        <v>2264</v>
      </c>
      <c r="G198" s="25">
        <v>4.0136150900581482</v>
      </c>
      <c r="H198" s="26">
        <v>4505</v>
      </c>
      <c r="I198" s="25">
        <v>7.9864558218692387</v>
      </c>
    </row>
    <row r="199" spans="1:9" ht="15" customHeight="1" x14ac:dyDescent="0.3">
      <c r="A199" s="35">
        <v>154</v>
      </c>
      <c r="B199" s="35" t="str">
        <v>2008</v>
      </c>
      <c r="C199" s="36" t="str">
        <v>BADAMITA</v>
      </c>
      <c r="D199" s="44">
        <v>2713</v>
      </c>
      <c r="E199" s="25">
        <v>4.8096014749680895</v>
      </c>
      <c r="F199" s="44">
        <v>2671</v>
      </c>
      <c r="G199" s="25">
        <v>4.7351439512125939</v>
      </c>
      <c r="H199" s="26">
        <v>5384</v>
      </c>
      <c r="I199" s="25">
        <v>9.5447454261806843</v>
      </c>
    </row>
    <row r="200" spans="1:9" ht="15" customHeight="1" x14ac:dyDescent="0.3">
      <c r="A200" s="35">
        <v>155</v>
      </c>
      <c r="B200" s="35" t="str">
        <v>2009</v>
      </c>
      <c r="C200" s="36" t="str">
        <v>TANJUNGANOM</v>
      </c>
      <c r="D200" s="43">
        <v>1814</v>
      </c>
      <c r="E200" s="25">
        <v>3.2158559069635517</v>
      </c>
      <c r="F200" s="43">
        <v>1754</v>
      </c>
      <c r="G200" s="25">
        <v>3.1094880158842719</v>
      </c>
      <c r="H200" s="26">
        <v>3568</v>
      </c>
      <c r="I200" s="25">
        <v>6.3253439228478232</v>
      </c>
    </row>
    <row r="201" spans="1:9" ht="15" customHeight="1" x14ac:dyDescent="0.3">
      <c r="A201" s="35">
        <v>156</v>
      </c>
      <c r="B201" s="35" t="str">
        <v>2010</v>
      </c>
      <c r="C201" s="36" t="str">
        <v>LUWUNG</v>
      </c>
      <c r="D201" s="44">
        <v>1063</v>
      </c>
      <c r="E201" s="25">
        <v>1.8844844702879024</v>
      </c>
      <c r="F201" s="44">
        <v>1080</v>
      </c>
      <c r="G201" s="25">
        <v>1.9146220394270317</v>
      </c>
      <c r="H201" s="26">
        <v>2143</v>
      </c>
      <c r="I201" s="25">
        <v>3.7991065097149344</v>
      </c>
    </row>
    <row r="202" spans="1:9" ht="15" customHeight="1" x14ac:dyDescent="0.3">
      <c r="A202" s="35">
        <v>157</v>
      </c>
      <c r="B202" s="35" t="str">
        <v>2011</v>
      </c>
      <c r="C202" s="36" t="str">
        <v>LENGKONG</v>
      </c>
      <c r="D202" s="43">
        <v>3482</v>
      </c>
      <c r="E202" s="25">
        <v>6.1728832789675225</v>
      </c>
      <c r="F202" s="43">
        <v>3360</v>
      </c>
      <c r="G202" s="25">
        <v>5.9566019004396535</v>
      </c>
      <c r="H202" s="26">
        <v>6842</v>
      </c>
      <c r="I202" s="25">
        <v>12.129485179407176</v>
      </c>
    </row>
    <row r="203" spans="1:9" ht="15" customHeight="1" x14ac:dyDescent="0.3">
      <c r="A203" s="79" t="s">
        <v>575</v>
      </c>
      <c r="B203" s="79"/>
      <c r="C203" s="79"/>
      <c r="D203" s="39">
        <f>SUM(D192:D202)</f>
        <v>28498</v>
      </c>
      <c r="E203" s="40">
        <f>D203/$H$203*100</f>
        <v>50.521202666288467</v>
      </c>
      <c r="F203" s="39">
        <f>SUM(F192:F202)</f>
        <v>27910</v>
      </c>
      <c r="G203" s="40">
        <f>F203/$H$203*100</f>
        <v>49.478797333711533</v>
      </c>
      <c r="H203" s="39">
        <f>SUM(H192:H202)</f>
        <v>56408</v>
      </c>
      <c r="I203" s="40">
        <f>H203/$H$203*100</f>
        <v>100</v>
      </c>
    </row>
    <row r="204" spans="1:9" ht="15" customHeight="1" x14ac:dyDescent="0.3">
      <c r="A204" s="75" t="s">
        <v>598</v>
      </c>
      <c r="B204" s="75"/>
      <c r="C204" s="75"/>
      <c r="D204" s="75"/>
      <c r="E204" s="75"/>
      <c r="F204" s="75"/>
      <c r="G204" s="75"/>
      <c r="H204" s="75"/>
      <c r="I204" s="75"/>
    </row>
    <row r="205" spans="1:9" ht="15" customHeight="1" x14ac:dyDescent="0.3">
      <c r="A205" s="76" t="s">
        <v>571</v>
      </c>
      <c r="B205" s="76" t="s">
        <v>586</v>
      </c>
      <c r="C205" s="76"/>
      <c r="D205" s="77" t="s">
        <v>573</v>
      </c>
      <c r="E205" s="77"/>
      <c r="F205" s="77" t="s">
        <v>574</v>
      </c>
      <c r="G205" s="77"/>
      <c r="H205" s="78" t="s">
        <v>575</v>
      </c>
      <c r="I205" s="78"/>
    </row>
    <row r="206" spans="1:9" ht="15" customHeight="1" x14ac:dyDescent="0.3">
      <c r="A206" s="76"/>
      <c r="B206" s="32" t="s">
        <v>576</v>
      </c>
      <c r="C206" s="32" t="s">
        <v>577</v>
      </c>
      <c r="D206" s="33" t="s">
        <v>575</v>
      </c>
      <c r="E206" s="33" t="s">
        <v>578</v>
      </c>
      <c r="F206" s="33" t="s">
        <v>575</v>
      </c>
      <c r="G206" s="33" t="s">
        <v>578</v>
      </c>
      <c r="H206" s="34" t="s">
        <v>587</v>
      </c>
      <c r="I206" s="34" t="s">
        <v>578</v>
      </c>
    </row>
    <row r="207" spans="1:9" ht="15" customHeight="1" x14ac:dyDescent="0.3">
      <c r="A207" s="35">
        <v>158</v>
      </c>
      <c r="B207" s="35" t="str" cm="1">
        <f t="array" ref="B207:B223">RIGHT(_xlfn._xlws.FILTER('AGR_JK_3304_KAB. BANJARNEGARA'!$B$3:$B$300,(LEN('AGR_JK_3304_KAB. BANJARNEGARA'!$B$3:$B$300)=13)*(LEFT('AGR_JK_3304_KAB. BANJARNEGARA'!$B$3:$B$300,8)=MID(A204,13,8))),4)</f>
        <v>2001</v>
      </c>
      <c r="C207" s="36" t="str" cm="1">
        <f t="array" ref="C207:D223">_xlfn._xlws.FILTER('AGR_JK_3304_KAB. BANJARNEGARA'!$C$3:$D$300,(LEN('AGR_JK_3304_KAB. BANJARNEGARA'!$B$3:$B$300)=13)*(LEFT('AGR_JK_3304_KAB. BANJARNEGARA'!$B$3:$B$300,8)=MID(A204,13,8)))</f>
        <v>SAMBONG</v>
      </c>
      <c r="D207" s="22">
        <v>2567</v>
      </c>
      <c r="E207" s="25" cm="1">
        <f t="array" ref="E207:E223">D207:D223/$H$224*100</f>
        <v>2.7959308151439899</v>
      </c>
      <c r="F207" s="22" cm="1">
        <f t="array" ref="F207:F223">_xlfn._xlws.FILTER('AGR_JK_3304_KAB. BANJARNEGARA'!$E$3:$E$300,(LEN('AGR_JK_3304_KAB. BANJARNEGARA'!$B$3:$B$300)=13)*(LEFT('AGR_JK_3304_KAB. BANJARNEGARA'!$B$3:$B$300,8)=MID(A204,13,8)))</f>
        <v>2492</v>
      </c>
      <c r="G207" s="25" cm="1">
        <f t="array" ref="G207:G223">F207:F223/$H$224*100</f>
        <v>2.7142421469960354</v>
      </c>
      <c r="H207" s="26" cm="1">
        <f t="array" ref="H207:H223">_xlfn._xlws.FILTER('AGR_JK_3304_KAB. BANJARNEGARA'!$F$3:$F$300,(LEN('AGR_JK_3304_KAB. BANJARNEGARA'!$B$3:$B$300)=13)*(LEFT('AGR_JK_3304_KAB. BANJARNEGARA'!$B$3:$B$300,8)=MID(A204,13,8)))</f>
        <v>5059</v>
      </c>
      <c r="I207" s="25" cm="1">
        <f t="array" ref="I207:I223">H207:H223/$H$224*100</f>
        <v>5.5101729621400253</v>
      </c>
    </row>
    <row r="208" spans="1:9" ht="15" customHeight="1" x14ac:dyDescent="0.3">
      <c r="A208" s="35">
        <v>159</v>
      </c>
      <c r="B208" s="35" t="str">
        <v>2002</v>
      </c>
      <c r="C208" s="36" t="str">
        <v>DANAKERTA</v>
      </c>
      <c r="D208" s="43">
        <v>3239</v>
      </c>
      <c r="E208" s="25">
        <v>3.5278612817496628</v>
      </c>
      <c r="F208" s="43">
        <v>3166</v>
      </c>
      <c r="G208" s="25">
        <v>3.4483509780856534</v>
      </c>
      <c r="H208" s="26">
        <v>6405</v>
      </c>
      <c r="I208" s="25">
        <v>6.9762122598353153</v>
      </c>
    </row>
    <row r="209" spans="1:9" ht="15" customHeight="1" x14ac:dyDescent="0.3">
      <c r="A209" s="35">
        <v>160</v>
      </c>
      <c r="B209" s="35" t="str">
        <v>2003</v>
      </c>
      <c r="C209" s="36" t="str">
        <v>KLAPA</v>
      </c>
      <c r="D209" s="43">
        <v>1908</v>
      </c>
      <c r="E209" s="25">
        <v>2.0781597176839628</v>
      </c>
      <c r="F209" s="43">
        <v>1795</v>
      </c>
      <c r="G209" s="25">
        <v>1.9550821243410448</v>
      </c>
      <c r="H209" s="26">
        <v>3703</v>
      </c>
      <c r="I209" s="25">
        <v>4.0332418420250082</v>
      </c>
    </row>
    <row r="210" spans="1:9" ht="15" customHeight="1" x14ac:dyDescent="0.3">
      <c r="A210" s="35">
        <v>161</v>
      </c>
      <c r="B210" s="35" t="str">
        <v>2004</v>
      </c>
      <c r="C210" s="36" t="str">
        <v>KECEPIT</v>
      </c>
      <c r="D210" s="43">
        <v>3197</v>
      </c>
      <c r="E210" s="25">
        <v>3.4821156275868077</v>
      </c>
      <c r="F210" s="43">
        <v>3034</v>
      </c>
      <c r="G210" s="25">
        <v>3.3045789221452537</v>
      </c>
      <c r="H210" s="26">
        <v>6231</v>
      </c>
      <c r="I210" s="25">
        <v>6.7866945497320614</v>
      </c>
    </row>
    <row r="211" spans="1:9" ht="15" customHeight="1" x14ac:dyDescent="0.3">
      <c r="A211" s="35">
        <v>162</v>
      </c>
      <c r="B211" s="35" t="str">
        <v>2005</v>
      </c>
      <c r="C211" s="36" t="str">
        <v>KARANGSARI</v>
      </c>
      <c r="D211" s="44">
        <v>2961</v>
      </c>
      <c r="E211" s="25">
        <v>3.2250686184812443</v>
      </c>
      <c r="F211" s="44">
        <v>2849</v>
      </c>
      <c r="G211" s="25">
        <v>3.103080207380299</v>
      </c>
      <c r="H211" s="26">
        <v>5810</v>
      </c>
      <c r="I211" s="25">
        <v>6.3281488258615433</v>
      </c>
    </row>
    <row r="212" spans="1:9" ht="15" customHeight="1" x14ac:dyDescent="0.3">
      <c r="A212" s="35">
        <v>163</v>
      </c>
      <c r="B212" s="35" t="str">
        <v>2006</v>
      </c>
      <c r="C212" s="36" t="str">
        <v>TRIBUANA</v>
      </c>
      <c r="D212" s="43">
        <v>2125</v>
      </c>
      <c r="E212" s="25">
        <v>2.3145122641920444</v>
      </c>
      <c r="F212" s="43">
        <v>2057</v>
      </c>
      <c r="G212" s="25">
        <v>2.2404478717378993</v>
      </c>
      <c r="H212" s="26">
        <v>4182</v>
      </c>
      <c r="I212" s="25">
        <v>4.5549601359299441</v>
      </c>
    </row>
    <row r="213" spans="1:9" ht="15" customHeight="1" x14ac:dyDescent="0.3">
      <c r="A213" s="35">
        <v>164</v>
      </c>
      <c r="B213" s="35" t="str">
        <v>2007</v>
      </c>
      <c r="C213" s="36" t="str">
        <v>SAWANGAN</v>
      </c>
      <c r="D213" s="44">
        <v>1863</v>
      </c>
      <c r="E213" s="25">
        <v>2.0291465167951901</v>
      </c>
      <c r="F213" s="44">
        <v>1731</v>
      </c>
      <c r="G213" s="25">
        <v>1.8853744608547902</v>
      </c>
      <c r="H213" s="26">
        <v>3594</v>
      </c>
      <c r="I213" s="25">
        <v>3.9145209776499801</v>
      </c>
    </row>
    <row r="214" spans="1:9" ht="15" customHeight="1" x14ac:dyDescent="0.3">
      <c r="A214" s="35">
        <v>165</v>
      </c>
      <c r="B214" s="35" t="str">
        <v>2008</v>
      </c>
      <c r="C214" s="36" t="str">
        <v>SIDARATA</v>
      </c>
      <c r="D214" s="44">
        <v>2522</v>
      </c>
      <c r="E214" s="25">
        <v>2.7469176142552172</v>
      </c>
      <c r="F214" s="44">
        <v>2373</v>
      </c>
      <c r="G214" s="25">
        <v>2.5846294602012811</v>
      </c>
      <c r="H214" s="26">
        <v>4895</v>
      </c>
      <c r="I214" s="25">
        <v>5.3315470744564983</v>
      </c>
    </row>
    <row r="215" spans="1:9" ht="15" customHeight="1" x14ac:dyDescent="0.3">
      <c r="A215" s="35">
        <v>166</v>
      </c>
      <c r="B215" s="35" t="str">
        <v>2009</v>
      </c>
      <c r="C215" s="36" t="str">
        <v>BADAKARYA</v>
      </c>
      <c r="D215" s="43">
        <v>2781</v>
      </c>
      <c r="E215" s="25">
        <v>3.0290158149261535</v>
      </c>
      <c r="F215" s="43">
        <v>2661</v>
      </c>
      <c r="G215" s="25">
        <v>2.8983139458894263</v>
      </c>
      <c r="H215" s="26">
        <v>5442</v>
      </c>
      <c r="I215" s="25">
        <v>5.9273297608155797</v>
      </c>
    </row>
    <row r="216" spans="1:9" ht="15" customHeight="1" x14ac:dyDescent="0.3">
      <c r="A216" s="35">
        <v>167</v>
      </c>
      <c r="B216" s="35" t="str">
        <v>2010</v>
      </c>
      <c r="C216" s="36" t="str">
        <v>PUNGGELAN</v>
      </c>
      <c r="D216" s="44">
        <v>4252</v>
      </c>
      <c r="E216" s="25">
        <v>4.6312028928680347</v>
      </c>
      <c r="F216" s="44">
        <v>4163</v>
      </c>
      <c r="G216" s="25">
        <v>4.5342656733324622</v>
      </c>
      <c r="H216" s="26">
        <v>8415</v>
      </c>
      <c r="I216" s="25">
        <v>9.1654685662004969</v>
      </c>
    </row>
    <row r="217" spans="1:9" ht="15" customHeight="1" x14ac:dyDescent="0.3">
      <c r="A217" s="35">
        <v>168</v>
      </c>
      <c r="B217" s="35" t="str">
        <v>2011</v>
      </c>
      <c r="C217" s="36" t="str">
        <v>JEMBANGAN</v>
      </c>
      <c r="D217" s="43">
        <v>3346</v>
      </c>
      <c r="E217" s="25">
        <v>3.6444037816407442</v>
      </c>
      <c r="F217" s="43">
        <v>3174</v>
      </c>
      <c r="G217" s="25">
        <v>3.4570644360214349</v>
      </c>
      <c r="H217" s="26">
        <v>6520</v>
      </c>
      <c r="I217" s="25">
        <v>7.1014682176621795</v>
      </c>
    </row>
    <row r="218" spans="1:9" ht="15" customHeight="1" x14ac:dyDescent="0.3">
      <c r="A218" s="35">
        <v>169</v>
      </c>
      <c r="B218" s="35" t="str">
        <v>2012</v>
      </c>
      <c r="C218" s="36" t="str">
        <v>PURWASANA</v>
      </c>
      <c r="D218" s="43">
        <v>2665</v>
      </c>
      <c r="E218" s="25">
        <v>2.9026706748573172</v>
      </c>
      <c r="F218" s="43">
        <v>2476</v>
      </c>
      <c r="G218" s="25">
        <v>2.6968152311244715</v>
      </c>
      <c r="H218" s="26">
        <v>5141</v>
      </c>
      <c r="I218" s="25">
        <v>5.5994859059817887</v>
      </c>
    </row>
    <row r="219" spans="1:9" ht="15" customHeight="1" x14ac:dyDescent="0.3">
      <c r="A219" s="35">
        <v>170</v>
      </c>
      <c r="B219" s="35" t="str">
        <v>2013</v>
      </c>
      <c r="C219" s="36" t="str">
        <v>PETUGURAN</v>
      </c>
      <c r="D219" s="43">
        <v>3723</v>
      </c>
      <c r="E219" s="25">
        <v>4.0550254868644622</v>
      </c>
      <c r="F219" s="43">
        <v>3636</v>
      </c>
      <c r="G219" s="25">
        <v>3.9602666318128352</v>
      </c>
      <c r="H219" s="26">
        <v>7359</v>
      </c>
      <c r="I219" s="25">
        <v>8.0152921186772979</v>
      </c>
    </row>
    <row r="220" spans="1:9" ht="15" customHeight="1" x14ac:dyDescent="0.3">
      <c r="A220" s="35">
        <v>171</v>
      </c>
      <c r="B220" s="35" t="str">
        <v>2014</v>
      </c>
      <c r="C220" s="36" t="str">
        <v>BONDOLHARJO</v>
      </c>
      <c r="D220" s="43">
        <v>3177</v>
      </c>
      <c r="E220" s="25">
        <v>3.4603319827473533</v>
      </c>
      <c r="F220" s="43">
        <v>2943</v>
      </c>
      <c r="G220" s="25">
        <v>3.2054633381257349</v>
      </c>
      <c r="H220" s="26">
        <v>6120</v>
      </c>
      <c r="I220" s="25">
        <v>6.6657953208730882</v>
      </c>
    </row>
    <row r="221" spans="1:9" ht="15" customHeight="1" x14ac:dyDescent="0.3">
      <c r="A221" s="35">
        <v>172</v>
      </c>
      <c r="B221" s="35" t="str">
        <v>2015</v>
      </c>
      <c r="C221" s="36" t="str">
        <v>TANJUNGTIRTA</v>
      </c>
      <c r="D221" s="44">
        <v>2489</v>
      </c>
      <c r="E221" s="25">
        <v>2.7109746002701174</v>
      </c>
      <c r="F221" s="44">
        <v>2388</v>
      </c>
      <c r="G221" s="25">
        <v>2.6009671938308716</v>
      </c>
      <c r="H221" s="26">
        <v>4877</v>
      </c>
      <c r="I221" s="25">
        <v>5.3119417941009894</v>
      </c>
    </row>
    <row r="222" spans="1:9" ht="15" customHeight="1" x14ac:dyDescent="0.3">
      <c r="A222" s="35">
        <v>173</v>
      </c>
      <c r="B222" s="35" t="str">
        <v>2016</v>
      </c>
      <c r="C222" s="36" t="str">
        <v>TLAGA</v>
      </c>
      <c r="D222" s="22">
        <v>2788</v>
      </c>
      <c r="E222" s="46">
        <v>3.0366400906199624</v>
      </c>
      <c r="F222" s="22">
        <v>2587</v>
      </c>
      <c r="G222" s="46">
        <v>2.8177144599834443</v>
      </c>
      <c r="H222" s="26">
        <v>5375</v>
      </c>
      <c r="I222" s="46">
        <v>5.8543545506034071</v>
      </c>
    </row>
    <row r="223" spans="1:9" ht="15" customHeight="1" x14ac:dyDescent="0.3">
      <c r="A223" s="35">
        <v>174</v>
      </c>
      <c r="B223" s="35" t="str">
        <v>2017</v>
      </c>
      <c r="C223" s="36" t="str">
        <v>MLAYA</v>
      </c>
      <c r="D223" s="38">
        <v>1420</v>
      </c>
      <c r="E223" s="46">
        <v>1.5466387836012723</v>
      </c>
      <c r="F223" s="38">
        <v>1264</v>
      </c>
      <c r="G223" s="46">
        <v>1.3767263538535268</v>
      </c>
      <c r="H223" s="26">
        <v>2684</v>
      </c>
      <c r="I223" s="46">
        <v>2.9233651374547991</v>
      </c>
    </row>
    <row r="224" spans="1:9" ht="15" customHeight="1" x14ac:dyDescent="0.3">
      <c r="A224" s="79" t="s">
        <v>575</v>
      </c>
      <c r="B224" s="79"/>
      <c r="C224" s="79"/>
      <c r="D224" s="39">
        <f>SUM(D207:D223)</f>
        <v>47023</v>
      </c>
      <c r="E224" s="40">
        <f>D224/$H$224*100</f>
        <v>51.216616564283534</v>
      </c>
      <c r="F224" s="39">
        <f>SUM(F207:F223)</f>
        <v>44789</v>
      </c>
      <c r="G224" s="40">
        <f>F224/$H$224*100</f>
        <v>48.783383435716466</v>
      </c>
      <c r="H224" s="39">
        <f>SUM(H207:H223)</f>
        <v>91812</v>
      </c>
      <c r="I224" s="40">
        <f>H224/$H$224*100</f>
        <v>100</v>
      </c>
    </row>
    <row r="225" spans="1:9" ht="15" customHeight="1" x14ac:dyDescent="0.3">
      <c r="A225" s="75" t="s">
        <v>599</v>
      </c>
      <c r="B225" s="75"/>
      <c r="C225" s="75"/>
      <c r="D225" s="75"/>
      <c r="E225" s="75"/>
      <c r="F225" s="75"/>
      <c r="G225" s="75"/>
      <c r="H225" s="75"/>
      <c r="I225" s="75"/>
    </row>
    <row r="226" spans="1:9" ht="15" customHeight="1" x14ac:dyDescent="0.3">
      <c r="A226" s="76" t="s">
        <v>571</v>
      </c>
      <c r="B226" s="76" t="s">
        <v>586</v>
      </c>
      <c r="C226" s="76"/>
      <c r="D226" s="77" t="s">
        <v>573</v>
      </c>
      <c r="E226" s="77"/>
      <c r="F226" s="77" t="s">
        <v>574</v>
      </c>
      <c r="G226" s="77"/>
      <c r="H226" s="78" t="s">
        <v>575</v>
      </c>
      <c r="I226" s="78"/>
    </row>
    <row r="227" spans="1:9" ht="15" customHeight="1" x14ac:dyDescent="0.3">
      <c r="A227" s="76"/>
      <c r="B227" s="32" t="s">
        <v>576</v>
      </c>
      <c r="C227" s="32" t="s">
        <v>577</v>
      </c>
      <c r="D227" s="33" t="s">
        <v>575</v>
      </c>
      <c r="E227" s="33" t="s">
        <v>578</v>
      </c>
      <c r="F227" s="33" t="s">
        <v>575</v>
      </c>
      <c r="G227" s="33" t="s">
        <v>578</v>
      </c>
      <c r="H227" s="34" t="s">
        <v>587</v>
      </c>
      <c r="I227" s="34" t="s">
        <v>578</v>
      </c>
    </row>
    <row r="228" spans="1:9" ht="15" customHeight="1" x14ac:dyDescent="0.3">
      <c r="A228" s="35">
        <v>175</v>
      </c>
      <c r="B228" s="35" t="str" cm="1">
        <f t="array" ref="B228:B240">RIGHT(_xlfn._xlws.FILTER('AGR_JK_3304_KAB. BANJARNEGARA'!$B$3:$B$300,(LEN('AGR_JK_3304_KAB. BANJARNEGARA'!$B$3:$B$300)=13)*(LEFT('AGR_JK_3304_KAB. BANJARNEGARA'!$B$3:$B$300,8)=MID(A225,13,8))),4)</f>
        <v>2001</v>
      </c>
      <c r="C228" s="36" t="str" cm="1">
        <f t="array" ref="C228:D240">_xlfn._xlws.FILTER('AGR_JK_3304_KAB. BANJARNEGARA'!$C$3:$D$300,(LEN('AGR_JK_3304_KAB. BANJARNEGARA'!$B$3:$B$300)=13)*(LEFT('AGR_JK_3304_KAB. BANJARNEGARA'!$B$3:$B$300,8)=MID(A225,13,8)))</f>
        <v>PAWEDEN</v>
      </c>
      <c r="D228" s="22">
        <v>791</v>
      </c>
      <c r="E228" s="25" cm="1">
        <f t="array" ref="E228:E240">D228:D240/$H$241*100</f>
        <v>2.403013640368199</v>
      </c>
      <c r="F228" s="22" cm="1">
        <f t="array" ref="F228:F240">_xlfn._xlws.FILTER('AGR_JK_3304_KAB. BANJARNEGARA'!$E$3:$E$300,(LEN('AGR_JK_3304_KAB. BANJARNEGARA'!$B$3:$B$300)=13)*(LEFT('AGR_JK_3304_KAB. BANJARNEGARA'!$B$3:$B$300,8)=MID(A225,13,8)))</f>
        <v>721</v>
      </c>
      <c r="G228" s="25" cm="1">
        <f t="array" ref="G228:G240">F228:F240/$H$241*100</f>
        <v>2.1903575659993315</v>
      </c>
      <c r="H228" s="26" cm="1">
        <f t="array" ref="H228:H240">_xlfn._xlws.FILTER('AGR_JK_3304_KAB. BANJARNEGARA'!$F$3:$F$300,(LEN('AGR_JK_3304_KAB. BANJARNEGARA'!$B$3:$B$300)=13)*(LEFT('AGR_JK_3304_KAB. BANJARNEGARA'!$B$3:$B$300,8)=MID(A225,13,8)))</f>
        <v>1512</v>
      </c>
      <c r="I228" s="25" cm="1">
        <f t="array" ref="I228:I240">H228:H240/$H$241*100</f>
        <v>4.5933712063675305</v>
      </c>
    </row>
    <row r="229" spans="1:9" ht="15" customHeight="1" x14ac:dyDescent="0.3">
      <c r="A229" s="35">
        <v>176</v>
      </c>
      <c r="B229" s="35" t="str">
        <v>2002</v>
      </c>
      <c r="C229" s="36" t="str">
        <v>GUMELAR</v>
      </c>
      <c r="D229" s="43">
        <v>519</v>
      </c>
      <c r="E229" s="25">
        <v>1.5766928942491722</v>
      </c>
      <c r="F229" s="43">
        <v>491</v>
      </c>
      <c r="G229" s="25">
        <v>1.4916304645016252</v>
      </c>
      <c r="H229" s="26">
        <v>1010</v>
      </c>
      <c r="I229" s="25">
        <v>3.0683233587507974</v>
      </c>
    </row>
    <row r="230" spans="1:9" ht="15" customHeight="1" x14ac:dyDescent="0.3">
      <c r="A230" s="35">
        <v>177</v>
      </c>
      <c r="B230" s="35" t="str">
        <v>2003</v>
      </c>
      <c r="C230" s="36" t="str">
        <v>PURWODADI</v>
      </c>
      <c r="D230" s="43">
        <v>1357</v>
      </c>
      <c r="E230" s="25">
        <v>4.1224898988364682</v>
      </c>
      <c r="F230" s="43">
        <v>1247</v>
      </c>
      <c r="G230" s="25">
        <v>3.7883160676853906</v>
      </c>
      <c r="H230" s="26">
        <v>2604</v>
      </c>
      <c r="I230" s="25">
        <v>7.910805966521858</v>
      </c>
    </row>
    <row r="231" spans="1:9" ht="15" customHeight="1" x14ac:dyDescent="0.3">
      <c r="A231" s="35">
        <v>178</v>
      </c>
      <c r="B231" s="35" t="str">
        <v>2004</v>
      </c>
      <c r="C231" s="36" t="str">
        <v>SAMPANG</v>
      </c>
      <c r="D231" s="43">
        <v>1286</v>
      </c>
      <c r="E231" s="25">
        <v>3.9067958805480454</v>
      </c>
      <c r="F231" s="43">
        <v>1205</v>
      </c>
      <c r="G231" s="25">
        <v>3.6607224230640703</v>
      </c>
      <c r="H231" s="26">
        <v>2491</v>
      </c>
      <c r="I231" s="25">
        <v>7.5675183036121156</v>
      </c>
    </row>
    <row r="232" spans="1:9" ht="15" customHeight="1" x14ac:dyDescent="0.3">
      <c r="A232" s="35">
        <v>179</v>
      </c>
      <c r="B232" s="35" t="str">
        <v>2005</v>
      </c>
      <c r="C232" s="36" t="str">
        <v>SLATRI</v>
      </c>
      <c r="D232" s="44">
        <v>1281</v>
      </c>
      <c r="E232" s="25">
        <v>3.8916061609502686</v>
      </c>
      <c r="F232" s="44">
        <v>1180</v>
      </c>
      <c r="G232" s="25">
        <v>3.5847738250751888</v>
      </c>
      <c r="H232" s="26">
        <v>2461</v>
      </c>
      <c r="I232" s="25">
        <v>7.4763799860254583</v>
      </c>
    </row>
    <row r="233" spans="1:9" ht="15" customHeight="1" x14ac:dyDescent="0.3">
      <c r="A233" s="35">
        <v>180</v>
      </c>
      <c r="B233" s="35" t="str">
        <v>2006</v>
      </c>
      <c r="C233" s="36" t="str">
        <v>PAGERPELAH</v>
      </c>
      <c r="D233" s="43">
        <v>1051</v>
      </c>
      <c r="E233" s="25">
        <v>3.192879059452562</v>
      </c>
      <c r="F233" s="43">
        <v>1001</v>
      </c>
      <c r="G233" s="25">
        <v>3.0409818634748</v>
      </c>
      <c r="H233" s="26">
        <v>2052</v>
      </c>
      <c r="I233" s="25">
        <v>6.2338609229273629</v>
      </c>
    </row>
    <row r="234" spans="1:9" ht="15" customHeight="1" x14ac:dyDescent="0.3">
      <c r="A234" s="35">
        <v>181</v>
      </c>
      <c r="B234" s="35" t="str">
        <v>2007</v>
      </c>
      <c r="C234" s="36" t="str">
        <v>PASURUHAN</v>
      </c>
      <c r="D234" s="44">
        <v>751</v>
      </c>
      <c r="E234" s="25">
        <v>2.2814958835859893</v>
      </c>
      <c r="F234" s="44">
        <v>685</v>
      </c>
      <c r="G234" s="25">
        <v>2.0809915848953429</v>
      </c>
      <c r="H234" s="26">
        <v>1436</v>
      </c>
      <c r="I234" s="25">
        <v>4.3624874684813317</v>
      </c>
    </row>
    <row r="235" spans="1:9" ht="15" customHeight="1" x14ac:dyDescent="0.3">
      <c r="A235" s="35">
        <v>182</v>
      </c>
      <c r="B235" s="35" t="str">
        <v>2008</v>
      </c>
      <c r="C235" s="36" t="str">
        <v>KARANGGONDANG</v>
      </c>
      <c r="D235" s="44">
        <v>1379</v>
      </c>
      <c r="E235" s="25">
        <v>4.1893246650666827</v>
      </c>
      <c r="F235" s="44">
        <v>1276</v>
      </c>
      <c r="G235" s="25">
        <v>3.8764164413524926</v>
      </c>
      <c r="H235" s="26">
        <v>2655</v>
      </c>
      <c r="I235" s="25">
        <v>8.0657411064191766</v>
      </c>
    </row>
    <row r="236" spans="1:9" ht="15" customHeight="1" x14ac:dyDescent="0.3">
      <c r="A236" s="35">
        <v>183</v>
      </c>
      <c r="B236" s="35" t="str">
        <v>2009</v>
      </c>
      <c r="C236" s="36" t="str">
        <v>JLEGONG</v>
      </c>
      <c r="D236" s="43">
        <v>529</v>
      </c>
      <c r="E236" s="25">
        <v>1.6070723334447246</v>
      </c>
      <c r="F236" s="43">
        <v>476</v>
      </c>
      <c r="G236" s="25">
        <v>1.4460613057082965</v>
      </c>
      <c r="H236" s="26">
        <v>1005</v>
      </c>
      <c r="I236" s="25">
        <v>3.0531336391530215</v>
      </c>
    </row>
    <row r="237" spans="1:9" ht="15" customHeight="1" x14ac:dyDescent="0.3">
      <c r="A237" s="35">
        <v>184</v>
      </c>
      <c r="B237" s="35" t="str">
        <v>2010</v>
      </c>
      <c r="C237" s="36" t="str">
        <v>AMBAL</v>
      </c>
      <c r="D237" s="44">
        <v>1350</v>
      </c>
      <c r="E237" s="25">
        <v>4.1012242913995811</v>
      </c>
      <c r="F237" s="44">
        <v>1274</v>
      </c>
      <c r="G237" s="25">
        <v>3.8703405535133824</v>
      </c>
      <c r="H237" s="26">
        <v>2624</v>
      </c>
      <c r="I237" s="25">
        <v>7.9715648449129626</v>
      </c>
    </row>
    <row r="238" spans="1:9" ht="15" customHeight="1" x14ac:dyDescent="0.3">
      <c r="A238" s="35">
        <v>185</v>
      </c>
      <c r="B238" s="35" t="str">
        <v>2011</v>
      </c>
      <c r="C238" s="36" t="str">
        <v>BINANGUN</v>
      </c>
      <c r="D238" s="43">
        <v>1573</v>
      </c>
      <c r="E238" s="25">
        <v>4.7786857854604001</v>
      </c>
      <c r="F238" s="43">
        <v>1451</v>
      </c>
      <c r="G238" s="25">
        <v>4.4080566272746609</v>
      </c>
      <c r="H238" s="26">
        <v>3024</v>
      </c>
      <c r="I238" s="25">
        <v>9.186742412735061</v>
      </c>
    </row>
    <row r="239" spans="1:9" ht="15" customHeight="1" x14ac:dyDescent="0.3">
      <c r="A239" s="35">
        <v>186</v>
      </c>
      <c r="B239" s="35" t="str">
        <v>2012</v>
      </c>
      <c r="C239" s="36" t="str">
        <v>KARANGKOBAR</v>
      </c>
      <c r="D239" s="43">
        <v>2809</v>
      </c>
      <c r="E239" s="25">
        <v>8.533584470030684</v>
      </c>
      <c r="F239" s="43">
        <v>2659</v>
      </c>
      <c r="G239" s="25">
        <v>8.0778928820973963</v>
      </c>
      <c r="H239" s="26">
        <v>5468</v>
      </c>
      <c r="I239" s="25">
        <v>16.61147735212808</v>
      </c>
    </row>
    <row r="240" spans="1:9" ht="15" customHeight="1" x14ac:dyDescent="0.3">
      <c r="A240" s="35">
        <v>187</v>
      </c>
      <c r="B240" s="35" t="str">
        <v>2013</v>
      </c>
      <c r="C240" s="36" t="str">
        <v>LEKSANA</v>
      </c>
      <c r="D240" s="43">
        <v>2332</v>
      </c>
      <c r="E240" s="25">
        <v>7.084485220402831</v>
      </c>
      <c r="F240" s="43">
        <v>2243</v>
      </c>
      <c r="G240" s="25">
        <v>6.8141082115624139</v>
      </c>
      <c r="H240" s="26">
        <v>4575</v>
      </c>
      <c r="I240" s="25">
        <v>13.898593431965246</v>
      </c>
    </row>
    <row r="241" spans="1:9" ht="15" customHeight="1" x14ac:dyDescent="0.3">
      <c r="A241" s="79" t="s">
        <v>575</v>
      </c>
      <c r="B241" s="79"/>
      <c r="C241" s="79"/>
      <c r="D241" s="39">
        <f>SUM(D228:D240)</f>
        <v>17008</v>
      </c>
      <c r="E241" s="40">
        <f>D241/$H$241*100</f>
        <v>51.669350183795601</v>
      </c>
      <c r="F241" s="39">
        <f>SUM(F228:F240)</f>
        <v>15909</v>
      </c>
      <c r="G241" s="40">
        <f>F241/$H$241*100</f>
        <v>48.330649816204392</v>
      </c>
      <c r="H241" s="39">
        <f>SUM(H228:H240)</f>
        <v>32917</v>
      </c>
      <c r="I241" s="40">
        <f>H241/$H$241*100</f>
        <v>100</v>
      </c>
    </row>
    <row r="242" spans="1:9" ht="15" customHeight="1" x14ac:dyDescent="0.3">
      <c r="A242" s="75" t="s">
        <v>600</v>
      </c>
      <c r="B242" s="75"/>
      <c r="C242" s="75"/>
      <c r="D242" s="75"/>
      <c r="E242" s="75"/>
      <c r="F242" s="75"/>
      <c r="G242" s="75"/>
      <c r="H242" s="75"/>
      <c r="I242" s="75"/>
    </row>
    <row r="243" spans="1:9" ht="15" customHeight="1" x14ac:dyDescent="0.3">
      <c r="A243" s="76" t="s">
        <v>571</v>
      </c>
      <c r="B243" s="76" t="s">
        <v>586</v>
      </c>
      <c r="C243" s="76"/>
      <c r="D243" s="77" t="s">
        <v>573</v>
      </c>
      <c r="E243" s="77"/>
      <c r="F243" s="77" t="s">
        <v>574</v>
      </c>
      <c r="G243" s="77"/>
      <c r="H243" s="78" t="s">
        <v>575</v>
      </c>
      <c r="I243" s="78"/>
    </row>
    <row r="244" spans="1:9" ht="15" customHeight="1" x14ac:dyDescent="0.3">
      <c r="A244" s="76"/>
      <c r="B244" s="32" t="s">
        <v>576</v>
      </c>
      <c r="C244" s="32" t="s">
        <v>577</v>
      </c>
      <c r="D244" s="33" t="s">
        <v>575</v>
      </c>
      <c r="E244" s="33" t="s">
        <v>578</v>
      </c>
      <c r="F244" s="33" t="s">
        <v>575</v>
      </c>
      <c r="G244" s="33" t="s">
        <v>578</v>
      </c>
      <c r="H244" s="34" t="s">
        <v>587</v>
      </c>
      <c r="I244" s="34" t="s">
        <v>578</v>
      </c>
    </row>
    <row r="245" spans="1:9" ht="15" customHeight="1" x14ac:dyDescent="0.3">
      <c r="A245" s="35">
        <v>188</v>
      </c>
      <c r="B245" s="35" t="str" cm="1">
        <f t="array" ref="B245:B260">RIGHT(_xlfn._xlws.FILTER('AGR_JK_3304_KAB. BANJARNEGARA'!$B$3:$B$300,(LEN('AGR_JK_3304_KAB. BANJARNEGARA'!$B$3:$B$300)=13)*(LEFT('AGR_JK_3304_KAB. BANJARNEGARA'!$B$3:$B$300,8)=MID(A242,13,8))),4)</f>
        <v>2001</v>
      </c>
      <c r="C245" s="36" t="str" cm="1">
        <f t="array" ref="C245:D260">_xlfn._xlws.FILTER('AGR_JK_3304_KAB. BANJARNEGARA'!$C$3:$D$300,(LEN('AGR_JK_3304_KAB. BANJARNEGARA'!$B$3:$B$300)=13)*(LEFT('AGR_JK_3304_KAB. BANJARNEGARA'!$B$3:$B$300,8)=MID(A242,13,8)))</f>
        <v>LARANGAN</v>
      </c>
      <c r="D245" s="22">
        <v>1036</v>
      </c>
      <c r="E245" s="25" cm="1">
        <f t="array" ref="E245:E260">D245:D260/$H$261*100</f>
        <v>2.5890938171639926</v>
      </c>
      <c r="F245" s="22" cm="1">
        <f t="array" ref="F245:F260">_xlfn._xlws.FILTER('AGR_JK_3304_KAB. BANJARNEGARA'!$E$3:$E$300,(LEN('AGR_JK_3304_KAB. BANJARNEGARA'!$B$3:$B$300)=13)*(LEFT('AGR_JK_3304_KAB. BANJARNEGARA'!$B$3:$B$300,8)=MID(A242,13,8)))</f>
        <v>1002</v>
      </c>
      <c r="G245" s="25" cm="1">
        <f t="array" ref="G245:G260">F245:F260/$H$261*100</f>
        <v>2.5041235567551356</v>
      </c>
      <c r="H245" s="26" cm="1">
        <f t="array" ref="H245:H260">_xlfn._xlws.FILTER('AGR_JK_3304_KAB. BANJARNEGARA'!$F$3:$F$300,(LEN('AGR_JK_3304_KAB. BANJARNEGARA'!$B$3:$B$300)=13)*(LEFT('AGR_JK_3304_KAB. BANJARNEGARA'!$B$3:$B$300,8)=MID(A242,13,8)))</f>
        <v>2038</v>
      </c>
      <c r="I245" s="25" cm="1">
        <f t="array" ref="I245:I260">H245:H260/$H$261*100</f>
        <v>5.0932173739191278</v>
      </c>
    </row>
    <row r="246" spans="1:9" ht="15" customHeight="1" x14ac:dyDescent="0.3">
      <c r="A246" s="35">
        <v>189</v>
      </c>
      <c r="B246" s="35" t="str">
        <v>2002</v>
      </c>
      <c r="C246" s="36" t="str">
        <v>KARANGNANGKA</v>
      </c>
      <c r="D246" s="43">
        <v>1017</v>
      </c>
      <c r="E246" s="25">
        <v>2.5416104363472787</v>
      </c>
      <c r="F246" s="43">
        <v>904</v>
      </c>
      <c r="G246" s="25">
        <v>2.2592092767531362</v>
      </c>
      <c r="H246" s="26">
        <v>1921</v>
      </c>
      <c r="I246" s="25">
        <v>4.8008197131004149</v>
      </c>
    </row>
    <row r="247" spans="1:9" ht="15" customHeight="1" x14ac:dyDescent="0.3">
      <c r="A247" s="35">
        <v>190</v>
      </c>
      <c r="B247" s="35" t="str">
        <v>2003</v>
      </c>
      <c r="C247" s="36" t="str">
        <v>ARIBAYA</v>
      </c>
      <c r="D247" s="43">
        <v>1203</v>
      </c>
      <c r="E247" s="25">
        <v>3.0064477432898489</v>
      </c>
      <c r="F247" s="43">
        <v>1139</v>
      </c>
      <c r="G247" s="25">
        <v>2.8465037236967063</v>
      </c>
      <c r="H247" s="26">
        <v>2342</v>
      </c>
      <c r="I247" s="25">
        <v>5.8529514669865552</v>
      </c>
    </row>
    <row r="248" spans="1:9" ht="15" customHeight="1" x14ac:dyDescent="0.3">
      <c r="A248" s="35">
        <v>191</v>
      </c>
      <c r="B248" s="35" t="str">
        <v>2004</v>
      </c>
      <c r="C248" s="36" t="str">
        <v>NAGASARI</v>
      </c>
      <c r="D248" s="43">
        <v>925</v>
      </c>
      <c r="E248" s="25">
        <v>2.3116909081821362</v>
      </c>
      <c r="F248" s="43">
        <v>847</v>
      </c>
      <c r="G248" s="25">
        <v>2.1167591343029941</v>
      </c>
      <c r="H248" s="26">
        <v>1772</v>
      </c>
      <c r="I248" s="25">
        <v>4.4284500424851307</v>
      </c>
    </row>
    <row r="249" spans="1:9" ht="15" customHeight="1" x14ac:dyDescent="0.3">
      <c r="A249" s="35">
        <v>192</v>
      </c>
      <c r="B249" s="35" t="str">
        <v>2005</v>
      </c>
      <c r="C249" s="36" t="str">
        <v>GUMINGSIR</v>
      </c>
      <c r="D249" s="44">
        <v>1118</v>
      </c>
      <c r="E249" s="25">
        <v>2.7940220922677064</v>
      </c>
      <c r="F249" s="44">
        <v>1033</v>
      </c>
      <c r="G249" s="25">
        <v>2.5815964412455639</v>
      </c>
      <c r="H249" s="26">
        <v>2151</v>
      </c>
      <c r="I249" s="25">
        <v>5.3756185335132702</v>
      </c>
    </row>
    <row r="250" spans="1:9" ht="15" customHeight="1" x14ac:dyDescent="0.3">
      <c r="A250" s="35">
        <v>193</v>
      </c>
      <c r="B250" s="35" t="str">
        <v>2006</v>
      </c>
      <c r="C250" s="36" t="str">
        <v>SOKARAJA</v>
      </c>
      <c r="D250" s="43">
        <v>1173</v>
      </c>
      <c r="E250" s="25">
        <v>2.9314739841055633</v>
      </c>
      <c r="F250" s="43">
        <v>1209</v>
      </c>
      <c r="G250" s="25">
        <v>3.0214424951267054</v>
      </c>
      <c r="H250" s="26">
        <v>2382</v>
      </c>
      <c r="I250" s="25">
        <v>5.9529164792322691</v>
      </c>
    </row>
    <row r="251" spans="1:9" ht="15" customHeight="1" x14ac:dyDescent="0.3">
      <c r="A251" s="35">
        <v>194</v>
      </c>
      <c r="B251" s="35" t="str">
        <v>2007</v>
      </c>
      <c r="C251" s="36" t="str">
        <v>KAYUARES</v>
      </c>
      <c r="D251" s="44">
        <v>971</v>
      </c>
      <c r="E251" s="25">
        <v>2.4266506722647074</v>
      </c>
      <c r="F251" s="44">
        <v>879</v>
      </c>
      <c r="G251" s="25">
        <v>2.1967311440995654</v>
      </c>
      <c r="H251" s="26">
        <v>1850</v>
      </c>
      <c r="I251" s="25">
        <v>4.6233818163642724</v>
      </c>
    </row>
    <row r="252" spans="1:9" ht="15" customHeight="1" x14ac:dyDescent="0.3">
      <c r="A252" s="35">
        <v>195</v>
      </c>
      <c r="B252" s="35" t="str">
        <v>2008</v>
      </c>
      <c r="C252" s="36" t="str">
        <v>METAWANA</v>
      </c>
      <c r="D252" s="44">
        <v>1020</v>
      </c>
      <c r="E252" s="25">
        <v>2.5491078122657069</v>
      </c>
      <c r="F252" s="44">
        <v>965</v>
      </c>
      <c r="G252" s="25">
        <v>2.4116559204278505</v>
      </c>
      <c r="H252" s="26">
        <v>1985</v>
      </c>
      <c r="I252" s="25">
        <v>4.9607637326935574</v>
      </c>
    </row>
    <row r="253" spans="1:9" ht="15" customHeight="1" x14ac:dyDescent="0.3">
      <c r="A253" s="35">
        <v>196</v>
      </c>
      <c r="B253" s="35" t="str">
        <v>2009</v>
      </c>
      <c r="C253" s="36" t="str">
        <v>KALITLAGA</v>
      </c>
      <c r="D253" s="43">
        <v>1191</v>
      </c>
      <c r="E253" s="25">
        <v>2.9764582396161345</v>
      </c>
      <c r="F253" s="43">
        <v>1125</v>
      </c>
      <c r="G253" s="25">
        <v>2.8115159694107064</v>
      </c>
      <c r="H253" s="26">
        <v>2316</v>
      </c>
      <c r="I253" s="25">
        <v>5.7879742090268405</v>
      </c>
    </row>
    <row r="254" spans="1:9" ht="15" customHeight="1" x14ac:dyDescent="0.3">
      <c r="A254" s="35">
        <v>197</v>
      </c>
      <c r="B254" s="35" t="str">
        <v>2010</v>
      </c>
      <c r="C254" s="36" t="str">
        <v>KAREKAN</v>
      </c>
      <c r="D254" s="44">
        <v>1496</v>
      </c>
      <c r="E254" s="25">
        <v>3.7386914579897033</v>
      </c>
      <c r="F254" s="44">
        <v>1351</v>
      </c>
      <c r="G254" s="25">
        <v>3.3763182885989904</v>
      </c>
      <c r="H254" s="26">
        <v>2847</v>
      </c>
      <c r="I254" s="25">
        <v>7.1150097465886937</v>
      </c>
    </row>
    <row r="255" spans="1:9" ht="15" customHeight="1" x14ac:dyDescent="0.3">
      <c r="A255" s="35">
        <v>198</v>
      </c>
      <c r="B255" s="35" t="str">
        <v>2011</v>
      </c>
      <c r="C255" s="36" t="str">
        <v>PLUMBUNGAN</v>
      </c>
      <c r="D255" s="43">
        <v>1200</v>
      </c>
      <c r="E255" s="25">
        <v>2.9989503673714202</v>
      </c>
      <c r="F255" s="43">
        <v>1167</v>
      </c>
      <c r="G255" s="25">
        <v>2.9164792322687059</v>
      </c>
      <c r="H255" s="26">
        <v>2367</v>
      </c>
      <c r="I255" s="25">
        <v>5.9154295996401265</v>
      </c>
    </row>
    <row r="256" spans="1:9" ht="15" customHeight="1" x14ac:dyDescent="0.3">
      <c r="A256" s="35">
        <v>199</v>
      </c>
      <c r="B256" s="35" t="str">
        <v>2012</v>
      </c>
      <c r="C256" s="36" t="str">
        <v>PAGENTAN</v>
      </c>
      <c r="D256" s="43">
        <v>2527</v>
      </c>
      <c r="E256" s="25">
        <v>6.3152896486229819</v>
      </c>
      <c r="F256" s="43">
        <v>2499</v>
      </c>
      <c r="G256" s="25">
        <v>6.245314140050982</v>
      </c>
      <c r="H256" s="26">
        <v>5026</v>
      </c>
      <c r="I256" s="25">
        <v>12.560603788673962</v>
      </c>
    </row>
    <row r="257" spans="1:9" ht="15" customHeight="1" x14ac:dyDescent="0.3">
      <c r="A257" s="35">
        <v>200</v>
      </c>
      <c r="B257" s="35" t="str">
        <v>2013</v>
      </c>
      <c r="C257" s="36" t="str">
        <v>KASMARAN</v>
      </c>
      <c r="D257" s="43">
        <v>1080</v>
      </c>
      <c r="E257" s="25">
        <v>2.6990553306342782</v>
      </c>
      <c r="F257" s="43">
        <v>1078</v>
      </c>
      <c r="G257" s="25">
        <v>2.6940570800219921</v>
      </c>
      <c r="H257" s="26">
        <v>2158</v>
      </c>
      <c r="I257" s="25">
        <v>5.3931124106562702</v>
      </c>
    </row>
    <row r="258" spans="1:9" ht="15" customHeight="1" x14ac:dyDescent="0.3">
      <c r="A258" s="35">
        <v>201</v>
      </c>
      <c r="B258" s="35" t="str">
        <v>2014</v>
      </c>
      <c r="C258" s="36" t="str">
        <v>MAJASARI</v>
      </c>
      <c r="D258" s="43">
        <v>1655</v>
      </c>
      <c r="E258" s="25">
        <v>4.136052381666417</v>
      </c>
      <c r="F258" s="43">
        <v>1581</v>
      </c>
      <c r="G258" s="25">
        <v>3.9511171090118458</v>
      </c>
      <c r="H258" s="26">
        <v>3236</v>
      </c>
      <c r="I258" s="25">
        <v>8.0871694906782636</v>
      </c>
    </row>
    <row r="259" spans="1:9" ht="15" customHeight="1" x14ac:dyDescent="0.3">
      <c r="A259" s="35">
        <v>202</v>
      </c>
      <c r="B259" s="35" t="str">
        <v>2015</v>
      </c>
      <c r="C259" s="36" t="str">
        <v>BABADAN</v>
      </c>
      <c r="D259" s="44">
        <v>1877</v>
      </c>
      <c r="E259" s="25">
        <v>4.6908581996301297</v>
      </c>
      <c r="F259" s="44">
        <v>1798</v>
      </c>
      <c r="G259" s="25">
        <v>4.4934273004448446</v>
      </c>
      <c r="H259" s="26">
        <v>3675</v>
      </c>
      <c r="I259" s="25">
        <v>9.1842855000749744</v>
      </c>
    </row>
    <row r="260" spans="1:9" ht="15" customHeight="1" x14ac:dyDescent="0.3">
      <c r="A260" s="35">
        <v>203</v>
      </c>
      <c r="B260" s="35" t="str">
        <v>2016</v>
      </c>
      <c r="C260" s="36" t="str">
        <v>TEGALJERUK</v>
      </c>
      <c r="D260" s="22">
        <v>999</v>
      </c>
      <c r="E260" s="46">
        <v>2.496626180836707</v>
      </c>
      <c r="F260" s="22">
        <v>949</v>
      </c>
      <c r="G260" s="46">
        <v>2.3716699155295644</v>
      </c>
      <c r="H260" s="26">
        <v>1948</v>
      </c>
      <c r="I260" s="46">
        <v>4.8682960963662714</v>
      </c>
    </row>
    <row r="261" spans="1:9" ht="15" customHeight="1" x14ac:dyDescent="0.3">
      <c r="A261" s="79" t="s">
        <v>575</v>
      </c>
      <c r="B261" s="79"/>
      <c r="C261" s="79"/>
      <c r="D261" s="39">
        <f>SUM(D245:D260)</f>
        <v>20488</v>
      </c>
      <c r="E261" s="40">
        <f>D261/$H$261*100</f>
        <v>51.202079272254707</v>
      </c>
      <c r="F261" s="39">
        <f>SUM(F245:F260)</f>
        <v>19526</v>
      </c>
      <c r="G261" s="40">
        <f>F261/$H$261*100</f>
        <v>48.797920727745286</v>
      </c>
      <c r="H261" s="39">
        <f>SUM(H245:H260)</f>
        <v>40014</v>
      </c>
      <c r="I261" s="40">
        <f>H261/$H$261*100</f>
        <v>100</v>
      </c>
    </row>
    <row r="262" spans="1:9" ht="15" customHeight="1" x14ac:dyDescent="0.3">
      <c r="A262" s="75" t="s">
        <v>601</v>
      </c>
      <c r="B262" s="75"/>
      <c r="C262" s="75"/>
      <c r="D262" s="75"/>
      <c r="E262" s="75"/>
      <c r="F262" s="75"/>
      <c r="G262" s="75"/>
      <c r="H262" s="75"/>
      <c r="I262" s="75"/>
    </row>
    <row r="263" spans="1:9" ht="15" customHeight="1" x14ac:dyDescent="0.3">
      <c r="A263" s="76" t="s">
        <v>571</v>
      </c>
      <c r="B263" s="76" t="s">
        <v>586</v>
      </c>
      <c r="C263" s="76"/>
      <c r="D263" s="77" t="s">
        <v>573</v>
      </c>
      <c r="E263" s="77"/>
      <c r="F263" s="77" t="s">
        <v>574</v>
      </c>
      <c r="G263" s="77"/>
      <c r="H263" s="78" t="s">
        <v>575</v>
      </c>
      <c r="I263" s="78"/>
    </row>
    <row r="264" spans="1:9" ht="15" customHeight="1" x14ac:dyDescent="0.3">
      <c r="A264" s="76"/>
      <c r="B264" s="32" t="s">
        <v>576</v>
      </c>
      <c r="C264" s="32" t="s">
        <v>577</v>
      </c>
      <c r="D264" s="33" t="s">
        <v>575</v>
      </c>
      <c r="E264" s="33" t="s">
        <v>578</v>
      </c>
      <c r="F264" s="33" t="s">
        <v>575</v>
      </c>
      <c r="G264" s="33" t="s">
        <v>578</v>
      </c>
      <c r="H264" s="34" t="s">
        <v>587</v>
      </c>
      <c r="I264" s="34" t="s">
        <v>578</v>
      </c>
    </row>
    <row r="265" spans="1:9" ht="15" customHeight="1" x14ac:dyDescent="0.3">
      <c r="A265" s="35">
        <v>204</v>
      </c>
      <c r="B265" s="35" t="str" cm="1">
        <f t="array" ref="B265:B281">RIGHT(_xlfn._xlws.FILTER('AGR_JK_3304_KAB. BANJARNEGARA'!$B$3:$B$300,(LEN('AGR_JK_3304_KAB. BANJARNEGARA'!$B$3:$B$300)=13)*(LEFT('AGR_JK_3304_KAB. BANJARNEGARA'!$B$3:$B$300,8)=MID(A262,13,8))),4)</f>
        <v>2001</v>
      </c>
      <c r="C265" s="36" t="str" cm="1">
        <f t="array" ref="C265:D281">_xlfn._xlws.FILTER('AGR_JK_3304_KAB. BANJARNEGARA'!$C$3:$D$300,(LEN('AGR_JK_3304_KAB. BANJARNEGARA'!$B$3:$B$300)=13)*(LEFT('AGR_JK_3304_KAB. BANJARNEGARA'!$B$3:$B$300,8)=MID(A262,13,8)))</f>
        <v>KALILUNJAR</v>
      </c>
      <c r="D265" s="22">
        <v>646</v>
      </c>
      <c r="E265" s="25" cm="1">
        <f t="array" ref="E265:E281">D265:D281/$H$282*100</f>
        <v>1.3948266183011617</v>
      </c>
      <c r="F265" s="22" cm="1">
        <f t="array" ref="F265:F281">_xlfn._xlws.FILTER('AGR_JK_3304_KAB. BANJARNEGARA'!$E$3:$E$300,(LEN('AGR_JK_3304_KAB. BANJARNEGARA'!$B$3:$B$300)=13)*(LEFT('AGR_JK_3304_KAB. BANJARNEGARA'!$B$3:$B$300,8)=MID(A262,13,8)))</f>
        <v>617</v>
      </c>
      <c r="G265" s="25" cm="1">
        <f t="array" ref="G265:G281">F265:F281/$H$282*100</f>
        <v>1.3322105626808309</v>
      </c>
      <c r="H265" s="26" cm="1">
        <f t="array" ref="H265:H281">_xlfn._xlws.FILTER('AGR_JK_3304_KAB. BANJARNEGARA'!$F$3:$F$300,(LEN('AGR_JK_3304_KAB. BANJARNEGARA'!$B$3:$B$300)=13)*(LEFT('AGR_JK_3304_KAB. BANJARNEGARA'!$B$3:$B$300,8)=MID(A262,13,8)))</f>
        <v>1263</v>
      </c>
      <c r="I265" s="25" cm="1">
        <f t="array" ref="I265:I281">H265:H281/$H$282*100</f>
        <v>2.7270371809819927</v>
      </c>
    </row>
    <row r="266" spans="1:9" ht="15" customHeight="1" x14ac:dyDescent="0.3">
      <c r="A266" s="35">
        <v>205</v>
      </c>
      <c r="B266" s="35" t="str">
        <v>2002</v>
      </c>
      <c r="C266" s="36" t="str">
        <v>KARANGSARI</v>
      </c>
      <c r="D266" s="43">
        <v>1594</v>
      </c>
      <c r="E266" s="25">
        <v>3.441723884786458</v>
      </c>
      <c r="F266" s="43">
        <v>1486</v>
      </c>
      <c r="G266" s="25">
        <v>3.2085330569590189</v>
      </c>
      <c r="H266" s="26">
        <v>3080</v>
      </c>
      <c r="I266" s="25">
        <v>6.650256941745476</v>
      </c>
    </row>
    <row r="267" spans="1:9" ht="15" customHeight="1" x14ac:dyDescent="0.3">
      <c r="A267" s="35">
        <v>206</v>
      </c>
      <c r="B267" s="35" t="str">
        <v>2003</v>
      </c>
      <c r="C267" s="36" t="str">
        <v>SARWODADI</v>
      </c>
      <c r="D267" s="43">
        <v>979</v>
      </c>
      <c r="E267" s="25">
        <v>2.1138316707690978</v>
      </c>
      <c r="F267" s="43">
        <v>898</v>
      </c>
      <c r="G267" s="25">
        <v>1.9389385498985188</v>
      </c>
      <c r="H267" s="26">
        <v>1877</v>
      </c>
      <c r="I267" s="25">
        <v>4.0527702206676164</v>
      </c>
    </row>
    <row r="268" spans="1:9" ht="15" customHeight="1" x14ac:dyDescent="0.3">
      <c r="A268" s="35">
        <v>207</v>
      </c>
      <c r="B268" s="35" t="str">
        <v>2004</v>
      </c>
      <c r="C268" s="36" t="str">
        <v>GROGOL</v>
      </c>
      <c r="D268" s="43">
        <v>1704</v>
      </c>
      <c r="E268" s="25">
        <v>3.6792330612773676</v>
      </c>
      <c r="F268" s="43">
        <v>1539</v>
      </c>
      <c r="G268" s="25">
        <v>3.3229692965410029</v>
      </c>
      <c r="H268" s="26">
        <v>3243</v>
      </c>
      <c r="I268" s="25">
        <v>7.0022023578183701</v>
      </c>
    </row>
    <row r="269" spans="1:9" ht="15" customHeight="1" x14ac:dyDescent="0.3">
      <c r="A269" s="35">
        <v>208</v>
      </c>
      <c r="B269" s="35" t="str">
        <v>2005</v>
      </c>
      <c r="C269" s="36" t="str">
        <v>GIRITIRTA</v>
      </c>
      <c r="D269" s="44">
        <v>1553</v>
      </c>
      <c r="E269" s="25">
        <v>3.3531977371853006</v>
      </c>
      <c r="F269" s="44">
        <v>1451</v>
      </c>
      <c r="G269" s="25">
        <v>3.132961955348275</v>
      </c>
      <c r="H269" s="26">
        <v>3004</v>
      </c>
      <c r="I269" s="25">
        <v>6.4861596925335743</v>
      </c>
    </row>
    <row r="270" spans="1:9" ht="15" customHeight="1" x14ac:dyDescent="0.3">
      <c r="A270" s="35">
        <v>209</v>
      </c>
      <c r="B270" s="35" t="str">
        <v>2006</v>
      </c>
      <c r="C270" s="36" t="str">
        <v>BITING</v>
      </c>
      <c r="D270" s="43">
        <v>962</v>
      </c>
      <c r="E270" s="25">
        <v>2.0771257071295937</v>
      </c>
      <c r="F270" s="43">
        <v>947</v>
      </c>
      <c r="G270" s="25">
        <v>2.0447380921535605</v>
      </c>
      <c r="H270" s="26">
        <v>1909</v>
      </c>
      <c r="I270" s="25">
        <v>4.1218637992831546</v>
      </c>
    </row>
    <row r="271" spans="1:9" ht="15" customHeight="1" x14ac:dyDescent="0.3">
      <c r="A271" s="35">
        <v>210</v>
      </c>
      <c r="B271" s="35" t="str">
        <v>2007</v>
      </c>
      <c r="C271" s="36" t="str">
        <v>TLAHAB</v>
      </c>
      <c r="D271" s="44">
        <v>860</v>
      </c>
      <c r="E271" s="25">
        <v>1.8568899252925681</v>
      </c>
      <c r="F271" s="44">
        <v>801</v>
      </c>
      <c r="G271" s="25">
        <v>1.729498639720171</v>
      </c>
      <c r="H271" s="26">
        <v>1661</v>
      </c>
      <c r="I271" s="25">
        <v>3.5863885650127396</v>
      </c>
    </row>
    <row r="272" spans="1:9" ht="15" customHeight="1" x14ac:dyDescent="0.3">
      <c r="A272" s="35">
        <v>211</v>
      </c>
      <c r="B272" s="35" t="str">
        <v>2008</v>
      </c>
      <c r="C272" s="36" t="str">
        <v>DARMAYASA</v>
      </c>
      <c r="D272" s="44">
        <v>2284</v>
      </c>
      <c r="E272" s="25">
        <v>4.931554173683983</v>
      </c>
      <c r="F272" s="44">
        <v>2175</v>
      </c>
      <c r="G272" s="25">
        <v>4.6962041715248084</v>
      </c>
      <c r="H272" s="26">
        <v>4459</v>
      </c>
      <c r="I272" s="25">
        <v>9.6277583452087931</v>
      </c>
    </row>
    <row r="273" spans="1:11" ht="15" customHeight="1" x14ac:dyDescent="0.3">
      <c r="A273" s="35">
        <v>212</v>
      </c>
      <c r="B273" s="35" t="str">
        <v>2009</v>
      </c>
      <c r="C273" s="36" t="str">
        <v>PEJAWARAN</v>
      </c>
      <c r="D273" s="43">
        <v>2292</v>
      </c>
      <c r="E273" s="25">
        <v>4.948827568337868</v>
      </c>
      <c r="F273" s="43">
        <v>2092</v>
      </c>
      <c r="G273" s="25">
        <v>4.516992701990759</v>
      </c>
      <c r="H273" s="26">
        <v>4384</v>
      </c>
      <c r="I273" s="25">
        <v>9.4658202703286261</v>
      </c>
    </row>
    <row r="274" spans="1:11" ht="15" customHeight="1" x14ac:dyDescent="0.3">
      <c r="A274" s="35">
        <v>213</v>
      </c>
      <c r="B274" s="35" t="str">
        <v>2010</v>
      </c>
      <c r="C274" s="36" t="str">
        <v>PENUSUPAN</v>
      </c>
      <c r="D274" s="44">
        <v>2206</v>
      </c>
      <c r="E274" s="25">
        <v>4.7631385758086102</v>
      </c>
      <c r="F274" s="44">
        <v>2006</v>
      </c>
      <c r="G274" s="25">
        <v>4.3313037094615012</v>
      </c>
      <c r="H274" s="26">
        <v>4212</v>
      </c>
      <c r="I274" s="25">
        <v>9.0944422852701123</v>
      </c>
    </row>
    <row r="275" spans="1:11" ht="15" customHeight="1" x14ac:dyDescent="0.3">
      <c r="A275" s="35">
        <v>214</v>
      </c>
      <c r="B275" s="35" t="str">
        <v>2011</v>
      </c>
      <c r="C275" s="36" t="str">
        <v>RATAMBA</v>
      </c>
      <c r="D275" s="43">
        <v>1377</v>
      </c>
      <c r="E275" s="25">
        <v>2.9731830547998448</v>
      </c>
      <c r="F275" s="43">
        <v>1274</v>
      </c>
      <c r="G275" s="25">
        <v>2.7507880986310833</v>
      </c>
      <c r="H275" s="26">
        <v>2651</v>
      </c>
      <c r="I275" s="25">
        <v>5.7239711534309281</v>
      </c>
    </row>
    <row r="276" spans="1:11" ht="15" customHeight="1" x14ac:dyDescent="0.3">
      <c r="A276" s="35">
        <v>215</v>
      </c>
      <c r="B276" s="35" t="str">
        <v>2012</v>
      </c>
      <c r="C276" s="36" t="str">
        <v>SIDENGOK</v>
      </c>
      <c r="D276" s="43">
        <v>1791</v>
      </c>
      <c r="E276" s="25">
        <v>3.8670812281383595</v>
      </c>
      <c r="F276" s="43">
        <v>1646</v>
      </c>
      <c r="G276" s="25">
        <v>3.5540009500367056</v>
      </c>
      <c r="H276" s="26">
        <v>3437</v>
      </c>
      <c r="I276" s="25">
        <v>7.421082178175066</v>
      </c>
    </row>
    <row r="277" spans="1:11" ht="15" customHeight="1" x14ac:dyDescent="0.3">
      <c r="A277" s="35">
        <v>216</v>
      </c>
      <c r="B277" s="35" t="str">
        <v>2013</v>
      </c>
      <c r="C277" s="36" t="str">
        <v>PEGUNDUNGAN</v>
      </c>
      <c r="D277" s="43">
        <v>912</v>
      </c>
      <c r="E277" s="25">
        <v>1.9691669905428164</v>
      </c>
      <c r="F277" s="43">
        <v>888</v>
      </c>
      <c r="G277" s="25">
        <v>1.9173468065811634</v>
      </c>
      <c r="H277" s="26">
        <v>1800</v>
      </c>
      <c r="I277" s="25">
        <v>3.8865137971239796</v>
      </c>
    </row>
    <row r="278" spans="1:11" ht="15" customHeight="1" x14ac:dyDescent="0.3">
      <c r="A278" s="35">
        <v>217</v>
      </c>
      <c r="B278" s="35" t="str">
        <v>2014</v>
      </c>
      <c r="C278" s="36" t="str">
        <v>BEJI</v>
      </c>
      <c r="D278" s="43">
        <v>642</v>
      </c>
      <c r="E278" s="25">
        <v>1.3861899209742194</v>
      </c>
      <c r="F278" s="43">
        <v>610</v>
      </c>
      <c r="G278" s="25">
        <v>1.3170963423586821</v>
      </c>
      <c r="H278" s="26">
        <v>1252</v>
      </c>
      <c r="I278" s="25">
        <v>2.7032862633329016</v>
      </c>
    </row>
    <row r="279" spans="1:11" ht="15" customHeight="1" x14ac:dyDescent="0.3">
      <c r="A279" s="35">
        <v>218</v>
      </c>
      <c r="B279" s="35" t="str">
        <v>2015</v>
      </c>
      <c r="C279" s="36" t="str">
        <v>SEMANGKUNG</v>
      </c>
      <c r="D279" s="44">
        <v>953</v>
      </c>
      <c r="E279" s="25">
        <v>2.0576931381439736</v>
      </c>
      <c r="F279" s="44">
        <v>922</v>
      </c>
      <c r="G279" s="25">
        <v>1.9907587338601718</v>
      </c>
      <c r="H279" s="26">
        <v>1875</v>
      </c>
      <c r="I279" s="25">
        <v>4.0484518720041454</v>
      </c>
    </row>
    <row r="280" spans="1:11" ht="15" customHeight="1" x14ac:dyDescent="0.3">
      <c r="A280" s="35">
        <v>219</v>
      </c>
      <c r="B280" s="35" t="str">
        <v>2016</v>
      </c>
      <c r="C280" s="36" t="str">
        <v>CONDONGCAMPUR</v>
      </c>
      <c r="D280" s="22">
        <v>1690</v>
      </c>
      <c r="E280" s="46">
        <v>3.64900462063307</v>
      </c>
      <c r="F280" s="22">
        <v>1566</v>
      </c>
      <c r="G280" s="46">
        <v>3.3812670034978627</v>
      </c>
      <c r="H280" s="26">
        <v>3256</v>
      </c>
      <c r="I280" s="46">
        <v>7.0302716241309318</v>
      </c>
    </row>
    <row r="281" spans="1:11" ht="15" customHeight="1" x14ac:dyDescent="0.3">
      <c r="A281" s="35">
        <v>220</v>
      </c>
      <c r="B281" s="35" t="str">
        <v>2017</v>
      </c>
      <c r="C281" s="36" t="str">
        <v>GEMBOL</v>
      </c>
      <c r="D281" s="38">
        <v>1545</v>
      </c>
      <c r="E281" s="46">
        <v>3.3359243425314165</v>
      </c>
      <c r="F281" s="38">
        <v>1406</v>
      </c>
      <c r="G281" s="46">
        <v>3.0357991104201751</v>
      </c>
      <c r="H281" s="26">
        <v>2951</v>
      </c>
      <c r="I281" s="46">
        <v>6.3717234529515911</v>
      </c>
    </row>
    <row r="282" spans="1:11" ht="15" customHeight="1" x14ac:dyDescent="0.3">
      <c r="A282" s="79" t="s">
        <v>575</v>
      </c>
      <c r="B282" s="79"/>
      <c r="C282" s="79"/>
      <c r="D282" s="39">
        <f>SUM(D265:D281)</f>
        <v>23990</v>
      </c>
      <c r="E282" s="40">
        <f>D282/$H$282*100</f>
        <v>51.798592218335706</v>
      </c>
      <c r="F282" s="39">
        <f>SUM(F265:F281)</f>
        <v>22324</v>
      </c>
      <c r="G282" s="40">
        <f>F282/$H$282*100</f>
        <v>48.201407781664294</v>
      </c>
      <c r="H282" s="39">
        <f>SUM(H265:H281)</f>
        <v>46314</v>
      </c>
      <c r="I282" s="40">
        <f>H282/$H$282*100</f>
        <v>100</v>
      </c>
    </row>
    <row r="283" spans="1:11" ht="15" customHeight="1" x14ac:dyDescent="0.3">
      <c r="A283" s="75" t="s">
        <v>602</v>
      </c>
      <c r="B283" s="75"/>
      <c r="C283" s="75"/>
      <c r="D283" s="75"/>
      <c r="E283" s="75"/>
      <c r="F283" s="75"/>
      <c r="G283" s="75"/>
      <c r="H283" s="75"/>
      <c r="I283" s="75"/>
    </row>
    <row r="284" spans="1:11" ht="15" customHeight="1" x14ac:dyDescent="0.3">
      <c r="A284" s="76" t="s">
        <v>571</v>
      </c>
      <c r="B284" s="76" t="s">
        <v>586</v>
      </c>
      <c r="C284" s="76"/>
      <c r="D284" s="77" t="s">
        <v>573</v>
      </c>
      <c r="E284" s="77"/>
      <c r="F284" s="77" t="s">
        <v>574</v>
      </c>
      <c r="G284" s="77"/>
      <c r="H284" s="78" t="s">
        <v>575</v>
      </c>
      <c r="I284" s="78"/>
    </row>
    <row r="285" spans="1:11" ht="15" customHeight="1" x14ac:dyDescent="0.3">
      <c r="A285" s="76"/>
      <c r="B285" s="32" t="s">
        <v>576</v>
      </c>
      <c r="C285" s="32" t="s">
        <v>577</v>
      </c>
      <c r="D285" s="33" t="s">
        <v>575</v>
      </c>
      <c r="E285" s="33" t="s">
        <v>578</v>
      </c>
      <c r="F285" s="33" t="s">
        <v>575</v>
      </c>
      <c r="G285" s="33" t="s">
        <v>578</v>
      </c>
      <c r="H285" s="34" t="s">
        <v>587</v>
      </c>
      <c r="I285" s="34" t="s">
        <v>578</v>
      </c>
    </row>
    <row r="286" spans="1:11" ht="15" customHeight="1" x14ac:dyDescent="0.3">
      <c r="A286" s="35">
        <v>221</v>
      </c>
      <c r="B286" s="35" t="str" cm="1">
        <f t="array" ref="B286:B293">RIGHT(_xlfn._xlws.FILTER('AGR_JK_3304_KAB. BANJARNEGARA'!$B$3:$B$300,(LEN('AGR_JK_3304_KAB. BANJARNEGARA'!$B$3:$B$300)=13)*(LEFT('AGR_JK_3304_KAB. BANJARNEGARA'!$B$3:$B$300,8)=MID(A283,13,8))),4)</f>
        <v>2001</v>
      </c>
      <c r="C286" s="36" t="str" cm="1">
        <f t="array" ref="C286:D293">_xlfn._xlws.FILTER('AGR_JK_3304_KAB. BANJARNEGARA'!$C$3:$D$300,(LEN('AGR_JK_3304_KAB. BANJARNEGARA'!$B$3:$B$300)=13)*(LEFT('AGR_JK_3304_KAB. BANJARNEGARA'!$B$3:$B$300,8)=MID(A283,13,8)))</f>
        <v>BATUR</v>
      </c>
      <c r="D286" s="22">
        <v>7006</v>
      </c>
      <c r="E286" s="25" cm="1">
        <f t="array" ref="E286:E293">D286:D293/$H$294*100</f>
        <v>16.414413570123237</v>
      </c>
      <c r="F286" s="22" cm="1">
        <f t="array" ref="F286:F293">_xlfn._xlws.FILTER('AGR_JK_3304_KAB. BANJARNEGARA'!$E$3:$E$300,(LEN('AGR_JK_3304_KAB. BANJARNEGARA'!$B$3:$B$300)=13)*(LEFT('AGR_JK_3304_KAB. BANJARNEGARA'!$B$3:$B$300,8)=MID(A283,13,8)))</f>
        <v>6565</v>
      </c>
      <c r="G286" s="25" cm="1">
        <f t="array" ref="G286:G293">F286:F293/$H$294*100</f>
        <v>15.381191134436062</v>
      </c>
      <c r="H286" s="26" cm="1">
        <f t="array" ref="H286:H293">_xlfn._xlws.FILTER('AGR_JK_3304_KAB. BANJARNEGARA'!$F$3:$F$300,(LEN('AGR_JK_3304_KAB. BANJARNEGARA'!$B$3:$B$300)=13)*(LEFT('AGR_JK_3304_KAB. BANJARNEGARA'!$B$3:$B$300,8)=MID(A283,13,8)))</f>
        <v>13571</v>
      </c>
      <c r="I286" s="25" cm="1">
        <f t="array" ref="I286:I293">H286:H293/$H$294*100</f>
        <v>31.795604704559299</v>
      </c>
    </row>
    <row r="287" spans="1:11" ht="15" customHeight="1" x14ac:dyDescent="0.3">
      <c r="A287" s="35">
        <v>222</v>
      </c>
      <c r="B287" s="35" t="str">
        <v>2002</v>
      </c>
      <c r="C287" s="36" t="str">
        <v>SUMBEREJO</v>
      </c>
      <c r="D287" s="43">
        <v>2902</v>
      </c>
      <c r="E287" s="25">
        <v>6.7991190665854457</v>
      </c>
      <c r="F287" s="43">
        <v>2696</v>
      </c>
      <c r="G287" s="25">
        <v>6.3164800149946121</v>
      </c>
      <c r="H287" s="26">
        <v>5598</v>
      </c>
      <c r="I287" s="25">
        <v>13.115599081580056</v>
      </c>
    </row>
    <row r="288" spans="1:11" ht="15" customHeight="1" x14ac:dyDescent="0.3">
      <c r="A288" s="35">
        <v>223</v>
      </c>
      <c r="B288" s="35" t="str">
        <v>2003</v>
      </c>
      <c r="C288" s="36" t="str">
        <v>PASURENAN</v>
      </c>
      <c r="D288" s="43">
        <v>1477</v>
      </c>
      <c r="E288" s="25">
        <v>3.4604751417459347</v>
      </c>
      <c r="F288" s="43">
        <v>1408</v>
      </c>
      <c r="G288" s="25">
        <v>3.2988144885431803</v>
      </c>
      <c r="H288" s="26">
        <v>2885</v>
      </c>
      <c r="I288" s="25">
        <v>6.7592896302891141</v>
      </c>
      <c r="K288" s="53"/>
    </row>
    <row r="289" spans="1:9" ht="15" customHeight="1" x14ac:dyDescent="0.3">
      <c r="A289" s="35">
        <v>224</v>
      </c>
      <c r="B289" s="35" t="str">
        <v>2004</v>
      </c>
      <c r="C289" s="36" t="str">
        <v>PEKASIRAN</v>
      </c>
      <c r="D289" s="43">
        <v>2688</v>
      </c>
      <c r="E289" s="25">
        <v>6.2977367508551607</v>
      </c>
      <c r="F289" s="43">
        <v>2638</v>
      </c>
      <c r="G289" s="25">
        <v>6.1805913499835992</v>
      </c>
      <c r="H289" s="26">
        <v>5326</v>
      </c>
      <c r="I289" s="25">
        <v>12.478328100838761</v>
      </c>
    </row>
    <row r="290" spans="1:9" ht="15" customHeight="1" x14ac:dyDescent="0.3">
      <c r="A290" s="35">
        <v>225</v>
      </c>
      <c r="B290" s="35" t="str">
        <v>2005</v>
      </c>
      <c r="C290" s="36" t="str">
        <v>KEPAKISAN</v>
      </c>
      <c r="D290" s="44">
        <v>1606</v>
      </c>
      <c r="E290" s="25">
        <v>3.7627102759945643</v>
      </c>
      <c r="F290" s="44">
        <v>1516</v>
      </c>
      <c r="G290" s="25">
        <v>3.551848554425753</v>
      </c>
      <c r="H290" s="26">
        <v>3122</v>
      </c>
      <c r="I290" s="25">
        <v>7.3145588304203173</v>
      </c>
    </row>
    <row r="291" spans="1:9" ht="15" customHeight="1" x14ac:dyDescent="0.3">
      <c r="A291" s="35">
        <v>226</v>
      </c>
      <c r="B291" s="35" t="str">
        <v>2006</v>
      </c>
      <c r="C291" s="36" t="str">
        <v>BAKAL</v>
      </c>
      <c r="D291" s="43">
        <v>1876</v>
      </c>
      <c r="E291" s="25">
        <v>4.3952954407009983</v>
      </c>
      <c r="F291" s="43">
        <v>1741</v>
      </c>
      <c r="G291" s="25">
        <v>4.0790028583477813</v>
      </c>
      <c r="H291" s="26">
        <v>3617</v>
      </c>
      <c r="I291" s="25">
        <v>8.4742982990487796</v>
      </c>
    </row>
    <row r="292" spans="1:9" ht="15" customHeight="1" x14ac:dyDescent="0.3">
      <c r="A292" s="35">
        <v>227</v>
      </c>
      <c r="B292" s="35" t="str">
        <v>2007</v>
      </c>
      <c r="C292" s="36" t="str">
        <v>KARANGTENGAH</v>
      </c>
      <c r="D292" s="44">
        <v>2348</v>
      </c>
      <c r="E292" s="25">
        <v>5.5011480249285416</v>
      </c>
      <c r="F292" s="44">
        <v>2200</v>
      </c>
      <c r="G292" s="25">
        <v>5.1543976383487182</v>
      </c>
      <c r="H292" s="26">
        <v>4548</v>
      </c>
      <c r="I292" s="25">
        <v>10.655545663277259</v>
      </c>
    </row>
    <row r="293" spans="1:9" ht="15" customHeight="1" x14ac:dyDescent="0.3">
      <c r="A293" s="35">
        <v>228</v>
      </c>
      <c r="B293" s="35" t="str">
        <v>2008</v>
      </c>
      <c r="C293" s="36" t="str">
        <v>DIENG KULON</v>
      </c>
      <c r="D293" s="44">
        <v>2077</v>
      </c>
      <c r="E293" s="25">
        <v>4.8662199522046761</v>
      </c>
      <c r="F293" s="44">
        <v>1938</v>
      </c>
      <c r="G293" s="25">
        <v>4.5405557377817347</v>
      </c>
      <c r="H293" s="26">
        <v>4015</v>
      </c>
      <c r="I293" s="25">
        <v>9.4067756899864108</v>
      </c>
    </row>
    <row r="294" spans="1:9" ht="15" customHeight="1" x14ac:dyDescent="0.3">
      <c r="A294" s="79" t="s">
        <v>575</v>
      </c>
      <c r="B294" s="79"/>
      <c r="C294" s="79"/>
      <c r="D294" s="39">
        <f>SUM(D286:D293)</f>
        <v>21980</v>
      </c>
      <c r="E294" s="40">
        <f>D294/$H$294*100</f>
        <v>51.497118223138557</v>
      </c>
      <c r="F294" s="39">
        <f>SUM(F286:F293)</f>
        <v>20702</v>
      </c>
      <c r="G294" s="40">
        <f>F294/$H$361*100</f>
        <v>1.9507037873919442</v>
      </c>
      <c r="H294" s="39">
        <f>SUM(H286:H293)</f>
        <v>42682</v>
      </c>
      <c r="I294" s="40">
        <f>(D294+F294)/$H$294*100</f>
        <v>100</v>
      </c>
    </row>
    <row r="295" spans="1:9" ht="15" customHeight="1" x14ac:dyDescent="0.3">
      <c r="A295" s="75" t="s">
        <v>603</v>
      </c>
      <c r="B295" s="75"/>
      <c r="C295" s="75"/>
      <c r="D295" s="75"/>
      <c r="E295" s="75"/>
      <c r="F295" s="75"/>
      <c r="G295" s="75"/>
      <c r="H295" s="75"/>
      <c r="I295" s="75"/>
    </row>
    <row r="296" spans="1:9" ht="15" customHeight="1" x14ac:dyDescent="0.3">
      <c r="A296" s="76" t="s">
        <v>571</v>
      </c>
      <c r="B296" s="76" t="s">
        <v>586</v>
      </c>
      <c r="C296" s="76"/>
      <c r="D296" s="77" t="s">
        <v>573</v>
      </c>
      <c r="E296" s="77"/>
      <c r="F296" s="77" t="s">
        <v>574</v>
      </c>
      <c r="G296" s="77"/>
      <c r="H296" s="78" t="s">
        <v>575</v>
      </c>
      <c r="I296" s="78"/>
    </row>
    <row r="297" spans="1:9" ht="15" customHeight="1" x14ac:dyDescent="0.3">
      <c r="A297" s="76"/>
      <c r="B297" s="32" t="s">
        <v>576</v>
      </c>
      <c r="C297" s="32" t="s">
        <v>577</v>
      </c>
      <c r="D297" s="33" t="s">
        <v>575</v>
      </c>
      <c r="E297" s="33" t="s">
        <v>578</v>
      </c>
      <c r="F297" s="33" t="s">
        <v>575</v>
      </c>
      <c r="G297" s="33" t="s">
        <v>578</v>
      </c>
      <c r="H297" s="34" t="s">
        <v>587</v>
      </c>
      <c r="I297" s="34" t="s">
        <v>578</v>
      </c>
    </row>
    <row r="298" spans="1:9" ht="15" customHeight="1" x14ac:dyDescent="0.3">
      <c r="A298" s="35">
        <v>229</v>
      </c>
      <c r="B298" s="35" t="str" cm="1">
        <f t="array" ref="B298:B314">RIGHT(_xlfn._xlws.FILTER('AGR_JK_3304_KAB. BANJARNEGARA'!$B$3:$B$300,(LEN('AGR_JK_3304_KAB. BANJARNEGARA'!$B$3:$B$300)=13)*(LEFT('AGR_JK_3304_KAB. BANJARNEGARA'!$B$3:$B$300,8)=MID(A295,13,8))),4)</f>
        <v>2001</v>
      </c>
      <c r="C298" s="36" t="str" cm="1">
        <f t="array" ref="C298:D314">_xlfn._xlws.FILTER('AGR_JK_3304_KAB. BANJARNEGARA'!$C$3:$D$300,(LEN('AGR_JK_3304_KAB. BANJARNEGARA'!$B$3:$B$300)=13)*(LEFT('AGR_JK_3304_KAB. BANJARNEGARA'!$B$3:$B$300,8)=MID(A295,13,8)))</f>
        <v>KARANGTENGAH</v>
      </c>
      <c r="D298" s="22">
        <v>961</v>
      </c>
      <c r="E298" s="25" cm="1">
        <f t="array" ref="E298:E314">D298:D314/$H$315*100</f>
        <v>1.8526729771934221</v>
      </c>
      <c r="F298" s="22" cm="1">
        <f t="array" ref="F298:F314">_xlfn._xlws.FILTER('AGR_JK_3304_KAB. BANJARNEGARA'!$E$3:$E$300,(LEN('AGR_JK_3304_KAB. BANJARNEGARA'!$B$3:$B$300)=13)*(LEFT('AGR_JK_3304_KAB. BANJARNEGARA'!$B$3:$B$300,8)=MID(A295,13,8)))</f>
        <v>912</v>
      </c>
      <c r="G298" s="25" cm="1">
        <f t="array" ref="G298:G314">F298:F314/$H$315*100</f>
        <v>1.7582078618110311</v>
      </c>
      <c r="H298" s="26" cm="1">
        <f t="array" ref="H298:H314">_xlfn._xlws.FILTER('AGR_JK_3304_KAB. BANJARNEGARA'!$F$3:$F$300,(LEN('AGR_JK_3304_KAB. BANJARNEGARA'!$B$3:$B$300)=13)*(LEFT('AGR_JK_3304_KAB. BANJARNEGARA'!$B$3:$B$300,8)=MID(A295,13,8)))</f>
        <v>1873</v>
      </c>
      <c r="I298" s="25" cm="1">
        <f t="array" ref="I298:I314">H298:H314/$H$315*100</f>
        <v>3.6108808390044529</v>
      </c>
    </row>
    <row r="299" spans="1:9" ht="15" customHeight="1" x14ac:dyDescent="0.3">
      <c r="A299" s="35">
        <v>230</v>
      </c>
      <c r="B299" s="35" t="str">
        <v>2002</v>
      </c>
      <c r="C299" s="36" t="str">
        <v>SUWIDAK</v>
      </c>
      <c r="D299" s="43">
        <v>1036</v>
      </c>
      <c r="E299" s="25">
        <v>1.9972624395134082</v>
      </c>
      <c r="F299" s="43">
        <v>959</v>
      </c>
      <c r="G299" s="25">
        <v>1.8488172581982223</v>
      </c>
      <c r="H299" s="26">
        <v>1995</v>
      </c>
      <c r="I299" s="25">
        <v>3.8460796977116312</v>
      </c>
    </row>
    <row r="300" spans="1:9" ht="15" customHeight="1" x14ac:dyDescent="0.3">
      <c r="A300" s="35">
        <v>231</v>
      </c>
      <c r="B300" s="35" t="str">
        <v>2003</v>
      </c>
      <c r="C300" s="36" t="str">
        <v>BANTAR</v>
      </c>
      <c r="D300" s="43">
        <v>1375</v>
      </c>
      <c r="E300" s="25">
        <v>2.6508068091997452</v>
      </c>
      <c r="F300" s="43">
        <v>1233</v>
      </c>
      <c r="G300" s="25">
        <v>2.377050760540572</v>
      </c>
      <c r="H300" s="26">
        <v>2608</v>
      </c>
      <c r="I300" s="25">
        <v>5.0278575697403172</v>
      </c>
    </row>
    <row r="301" spans="1:9" ht="15" customHeight="1" x14ac:dyDescent="0.3">
      <c r="A301" s="35">
        <v>232</v>
      </c>
      <c r="B301" s="35" t="str">
        <v>2004</v>
      </c>
      <c r="C301" s="36" t="str">
        <v>PANDANSARI</v>
      </c>
      <c r="D301" s="43">
        <v>1944</v>
      </c>
      <c r="E301" s="25">
        <v>3.74775886333404</v>
      </c>
      <c r="F301" s="43">
        <v>1732</v>
      </c>
      <c r="G301" s="25">
        <v>3.3390526498428796</v>
      </c>
      <c r="H301" s="26">
        <v>3676</v>
      </c>
      <c r="I301" s="25">
        <v>7.0868115131769205</v>
      </c>
    </row>
    <row r="302" spans="1:9" ht="15" customHeight="1" x14ac:dyDescent="0.3">
      <c r="A302" s="35">
        <v>233</v>
      </c>
      <c r="B302" s="35" t="str">
        <v>2005</v>
      </c>
      <c r="C302" s="36" t="str">
        <v>PAGERGUNUNG</v>
      </c>
      <c r="D302" s="44">
        <v>1024</v>
      </c>
      <c r="E302" s="25">
        <v>1.9741281255422107</v>
      </c>
      <c r="F302" s="44">
        <v>950</v>
      </c>
      <c r="G302" s="25">
        <v>1.8314665227198241</v>
      </c>
      <c r="H302" s="26">
        <v>1974</v>
      </c>
      <c r="I302" s="25">
        <v>3.8055946482620349</v>
      </c>
    </row>
    <row r="303" spans="1:9" ht="15" customHeight="1" x14ac:dyDescent="0.3">
      <c r="A303" s="35">
        <v>234</v>
      </c>
      <c r="B303" s="35" t="str">
        <v>2006</v>
      </c>
      <c r="C303" s="36" t="str">
        <v>DAWUHAN</v>
      </c>
      <c r="D303" s="43">
        <v>1065</v>
      </c>
      <c r="E303" s="25">
        <v>2.0531703649438029</v>
      </c>
      <c r="F303" s="43">
        <v>958</v>
      </c>
      <c r="G303" s="25">
        <v>1.8468893987006227</v>
      </c>
      <c r="H303" s="26">
        <v>2023</v>
      </c>
      <c r="I303" s="25">
        <v>3.9000597636444256</v>
      </c>
    </row>
    <row r="304" spans="1:9" ht="15" customHeight="1" x14ac:dyDescent="0.3">
      <c r="A304" s="35">
        <v>235</v>
      </c>
      <c r="B304" s="35" t="str">
        <v>2007</v>
      </c>
      <c r="C304" s="36" t="str">
        <v>KUBANG</v>
      </c>
      <c r="D304" s="44">
        <v>2192</v>
      </c>
      <c r="E304" s="25">
        <v>4.2258680187387947</v>
      </c>
      <c r="F304" s="44">
        <v>1953</v>
      </c>
      <c r="G304" s="25">
        <v>3.7651095988124386</v>
      </c>
      <c r="H304" s="26">
        <v>4145</v>
      </c>
      <c r="I304" s="25">
        <v>7.9909776175512333</v>
      </c>
    </row>
    <row r="305" spans="1:9" ht="15" customHeight="1" x14ac:dyDescent="0.3">
      <c r="A305" s="35">
        <v>236</v>
      </c>
      <c r="B305" s="35" t="str">
        <v>2008</v>
      </c>
      <c r="C305" s="36" t="str">
        <v>SUSUKAN</v>
      </c>
      <c r="D305" s="44">
        <v>1298</v>
      </c>
      <c r="E305" s="25">
        <v>2.50236162788456</v>
      </c>
      <c r="F305" s="44">
        <v>1238</v>
      </c>
      <c r="G305" s="25">
        <v>2.386690058028571</v>
      </c>
      <c r="H305" s="26">
        <v>2536</v>
      </c>
      <c r="I305" s="25">
        <v>4.889051685913131</v>
      </c>
    </row>
    <row r="306" spans="1:9" ht="15" customHeight="1" x14ac:dyDescent="0.3">
      <c r="A306" s="35">
        <v>237</v>
      </c>
      <c r="B306" s="35" t="str">
        <v>2009</v>
      </c>
      <c r="C306" s="36" t="str">
        <v>WANAYASA</v>
      </c>
      <c r="D306" s="43">
        <v>2653</v>
      </c>
      <c r="E306" s="25">
        <v>5.1146112471323093</v>
      </c>
      <c r="F306" s="43">
        <v>2604</v>
      </c>
      <c r="G306" s="25">
        <v>5.0201461317499181</v>
      </c>
      <c r="H306" s="26">
        <v>5257</v>
      </c>
      <c r="I306" s="25">
        <v>10.134757378882227</v>
      </c>
    </row>
    <row r="307" spans="1:9" ht="15" customHeight="1" x14ac:dyDescent="0.3">
      <c r="A307" s="35">
        <v>238</v>
      </c>
      <c r="B307" s="35" t="str">
        <v>2010</v>
      </c>
      <c r="C307" s="36" t="str">
        <v>PESANTREN</v>
      </c>
      <c r="D307" s="44">
        <v>1577</v>
      </c>
      <c r="E307" s="25">
        <v>3.0402344277149083</v>
      </c>
      <c r="F307" s="44">
        <v>1572</v>
      </c>
      <c r="G307" s="25">
        <v>3.0305951302269087</v>
      </c>
      <c r="H307" s="26">
        <v>3149</v>
      </c>
      <c r="I307" s="25">
        <v>6.070829557941817</v>
      </c>
    </row>
    <row r="308" spans="1:9" ht="15" customHeight="1" x14ac:dyDescent="0.3">
      <c r="A308" s="35">
        <v>239</v>
      </c>
      <c r="B308" s="35" t="str">
        <v>2011</v>
      </c>
      <c r="C308" s="36" t="str">
        <v>BALUN</v>
      </c>
      <c r="D308" s="43">
        <v>2048</v>
      </c>
      <c r="E308" s="25">
        <v>3.9482562510844215</v>
      </c>
      <c r="F308" s="43">
        <v>1883</v>
      </c>
      <c r="G308" s="25">
        <v>3.6301594339804519</v>
      </c>
      <c r="H308" s="26">
        <v>3931</v>
      </c>
      <c r="I308" s="25">
        <v>7.5784156850648721</v>
      </c>
    </row>
    <row r="309" spans="1:9" ht="15" customHeight="1" x14ac:dyDescent="0.3">
      <c r="A309" s="35">
        <v>240</v>
      </c>
      <c r="B309" s="35" t="str">
        <v>2012</v>
      </c>
      <c r="C309" s="36" t="str">
        <v>TEMPURAN</v>
      </c>
      <c r="D309" s="43">
        <v>1543</v>
      </c>
      <c r="E309" s="25">
        <v>2.9746872047965143</v>
      </c>
      <c r="F309" s="43">
        <v>1421</v>
      </c>
      <c r="G309" s="25">
        <v>2.7394883460893369</v>
      </c>
      <c r="H309" s="26">
        <v>2964</v>
      </c>
      <c r="I309" s="25">
        <v>5.7141755508858516</v>
      </c>
    </row>
    <row r="310" spans="1:9" ht="15" customHeight="1" x14ac:dyDescent="0.3">
      <c r="A310" s="35">
        <v>241</v>
      </c>
      <c r="B310" s="35" t="str">
        <v>2013</v>
      </c>
      <c r="C310" s="36" t="str">
        <v>WANARAJA</v>
      </c>
      <c r="D310" s="43">
        <v>2663</v>
      </c>
      <c r="E310" s="25">
        <v>5.1338898421083075</v>
      </c>
      <c r="F310" s="43">
        <v>2570</v>
      </c>
      <c r="G310" s="25">
        <v>4.9545989088315245</v>
      </c>
      <c r="H310" s="26">
        <v>5233</v>
      </c>
      <c r="I310" s="25">
        <v>10.088488750939833</v>
      </c>
    </row>
    <row r="311" spans="1:9" ht="15" customHeight="1" x14ac:dyDescent="0.3">
      <c r="A311" s="35">
        <v>242</v>
      </c>
      <c r="B311" s="35" t="str">
        <v>2014</v>
      </c>
      <c r="C311" s="36" t="str">
        <v>JATILAWANG</v>
      </c>
      <c r="D311" s="43">
        <v>2683</v>
      </c>
      <c r="E311" s="25">
        <v>5.1724470320603029</v>
      </c>
      <c r="F311" s="43">
        <v>2542</v>
      </c>
      <c r="G311" s="25">
        <v>4.9006188428987301</v>
      </c>
      <c r="H311" s="26">
        <v>5225</v>
      </c>
      <c r="I311" s="25">
        <v>10.073065874959033</v>
      </c>
    </row>
    <row r="312" spans="1:9" ht="15" customHeight="1" x14ac:dyDescent="0.3">
      <c r="A312" s="35">
        <v>243</v>
      </c>
      <c r="B312" s="35" t="str">
        <v>2015</v>
      </c>
      <c r="C312" s="36" t="str">
        <v>LEGOKSAYEM</v>
      </c>
      <c r="D312" s="44">
        <v>505</v>
      </c>
      <c r="E312" s="25">
        <v>0.97356904628790653</v>
      </c>
      <c r="F312" s="44">
        <v>497</v>
      </c>
      <c r="G312" s="25">
        <v>0.95814617030710802</v>
      </c>
      <c r="H312" s="26">
        <v>1002</v>
      </c>
      <c r="I312" s="25">
        <v>1.9317152165950147</v>
      </c>
    </row>
    <row r="313" spans="1:9" ht="15" customHeight="1" x14ac:dyDescent="0.3">
      <c r="A313" s="35">
        <v>244</v>
      </c>
      <c r="B313" s="35" t="str">
        <v>2016</v>
      </c>
      <c r="C313" s="36" t="str">
        <v>KASIMPAR</v>
      </c>
      <c r="D313" s="22">
        <v>923</v>
      </c>
      <c r="E313" s="46">
        <v>1.779414316284629</v>
      </c>
      <c r="F313" s="22">
        <v>885</v>
      </c>
      <c r="G313" s="46">
        <v>1.7061556553758361</v>
      </c>
      <c r="H313" s="26">
        <v>1808</v>
      </c>
      <c r="I313" s="46">
        <v>3.4855699716604653</v>
      </c>
    </row>
    <row r="314" spans="1:9" ht="15" customHeight="1" x14ac:dyDescent="0.3">
      <c r="A314" s="35">
        <v>245</v>
      </c>
      <c r="B314" s="35" t="str">
        <v>2017</v>
      </c>
      <c r="C314" s="36" t="str">
        <v>PENANGGUNGAN</v>
      </c>
      <c r="D314" s="38">
        <v>1283</v>
      </c>
      <c r="E314" s="46">
        <v>2.4734437354205623</v>
      </c>
      <c r="F314" s="38">
        <v>1189</v>
      </c>
      <c r="G314" s="46">
        <v>2.2922249426461798</v>
      </c>
      <c r="H314" s="26">
        <v>2472</v>
      </c>
      <c r="I314" s="46">
        <v>4.7656686780667421</v>
      </c>
    </row>
    <row r="315" spans="1:9" ht="15" customHeight="1" x14ac:dyDescent="0.3">
      <c r="A315" s="79" t="s">
        <v>575</v>
      </c>
      <c r="B315" s="79"/>
      <c r="C315" s="79"/>
      <c r="D315" s="39">
        <f>SUM(D298:D314)</f>
        <v>26773</v>
      </c>
      <c r="E315" s="40">
        <f>D315/$H$315*100</f>
        <v>51.614582329239845</v>
      </c>
      <c r="F315" s="39">
        <f>SUM(F298:F314)</f>
        <v>25098</v>
      </c>
      <c r="G315" s="40">
        <f>F315/$H$315*100</f>
        <v>48.385417670760155</v>
      </c>
      <c r="H315" s="39">
        <f>SUM(H298:H314)</f>
        <v>51871</v>
      </c>
      <c r="I315" s="40">
        <f>H315/$H$315*100</f>
        <v>100</v>
      </c>
    </row>
    <row r="316" spans="1:9" ht="15" customHeight="1" x14ac:dyDescent="0.3">
      <c r="A316" s="75" t="s">
        <v>604</v>
      </c>
      <c r="B316" s="75"/>
      <c r="C316" s="75"/>
      <c r="D316" s="75"/>
      <c r="E316" s="75"/>
      <c r="F316" s="75"/>
      <c r="G316" s="75"/>
      <c r="H316" s="75"/>
      <c r="I316" s="75"/>
    </row>
    <row r="317" spans="1:9" ht="15" customHeight="1" x14ac:dyDescent="0.3">
      <c r="A317" s="76" t="s">
        <v>571</v>
      </c>
      <c r="B317" s="76" t="s">
        <v>586</v>
      </c>
      <c r="C317" s="76"/>
      <c r="D317" s="77" t="s">
        <v>573</v>
      </c>
      <c r="E317" s="77"/>
      <c r="F317" s="77" t="s">
        <v>574</v>
      </c>
      <c r="G317" s="77"/>
      <c r="H317" s="78" t="s">
        <v>575</v>
      </c>
      <c r="I317" s="78"/>
    </row>
    <row r="318" spans="1:9" ht="15" customHeight="1" x14ac:dyDescent="0.3">
      <c r="A318" s="76"/>
      <c r="B318" s="32" t="s">
        <v>576</v>
      </c>
      <c r="C318" s="32" t="s">
        <v>577</v>
      </c>
      <c r="D318" s="33" t="s">
        <v>575</v>
      </c>
      <c r="E318" s="33" t="s">
        <v>578</v>
      </c>
      <c r="F318" s="33" t="s">
        <v>575</v>
      </c>
      <c r="G318" s="33" t="s">
        <v>578</v>
      </c>
      <c r="H318" s="34" t="s">
        <v>587</v>
      </c>
      <c r="I318" s="34" t="s">
        <v>578</v>
      </c>
    </row>
    <row r="319" spans="1:9" ht="15" customHeight="1" x14ac:dyDescent="0.3">
      <c r="A319" s="35">
        <v>246</v>
      </c>
      <c r="B319" s="35" t="str" cm="1">
        <f t="array" ref="B319:B334">RIGHT(_xlfn._xlws.FILTER('AGR_JK_3304_KAB. BANJARNEGARA'!$B$3:$B$300,(LEN('AGR_JK_3304_KAB. BANJARNEGARA'!$B$3:$B$300)=13)*(LEFT('AGR_JK_3304_KAB. BANJARNEGARA'!$B$3:$B$300,8)=MID(A316,13,8))),4)</f>
        <v>2001</v>
      </c>
      <c r="C319" s="36" t="str" cm="1">
        <f t="array" ref="C319:D334">_xlfn._xlws.FILTER('AGR_JK_3304_KAB. BANJARNEGARA'!$C$3:$D$300,(LEN('AGR_JK_3304_KAB. BANJARNEGARA'!$B$3:$B$300)=13)*(LEFT('AGR_JK_3304_KAB. BANJARNEGARA'!$B$3:$B$300,8)=MID(A316,13,8)))</f>
        <v>KALIBENING</v>
      </c>
      <c r="D319" s="22">
        <v>2566</v>
      </c>
      <c r="E319" s="25" cm="1">
        <f t="array" ref="E319:E334">D319:D334/$H$335*100</f>
        <v>5.2865795871276111</v>
      </c>
      <c r="F319" s="22" cm="1">
        <f t="array" ref="F319:F334">_xlfn._xlws.FILTER('AGR_JK_3304_KAB. BANJARNEGARA'!$E$3:$E$300,(LEN('AGR_JK_3304_KAB. BANJARNEGARA'!$B$3:$B$300)=13)*(LEFT('AGR_JK_3304_KAB. BANJARNEGARA'!$B$3:$B$300,8)=MID(A316,13,8)))</f>
        <v>2463</v>
      </c>
      <c r="G319" s="25" cm="1">
        <f t="array" ref="G319:G334">F319:F334/$H$335*100</f>
        <v>5.0743747167167994</v>
      </c>
      <c r="H319" s="26" cm="1">
        <f t="array" ref="H319:H334">_xlfn._xlws.FILTER('AGR_JK_3304_KAB. BANJARNEGARA'!$F$3:$F$300,(LEN('AGR_JK_3304_KAB. BANJARNEGARA'!$B$3:$B$300)=13)*(LEFT('AGR_JK_3304_KAB. BANJARNEGARA'!$B$3:$B$300,8)=MID(A316,13,8)))</f>
        <v>5029</v>
      </c>
      <c r="I319" s="25" cm="1">
        <f t="array" ref="I319:I334">H319:H334/$H$335*100</f>
        <v>10.360954303844411</v>
      </c>
    </row>
    <row r="320" spans="1:9" ht="15" customHeight="1" x14ac:dyDescent="0.3">
      <c r="A320" s="35">
        <v>247</v>
      </c>
      <c r="B320" s="35" t="str">
        <v>2002</v>
      </c>
      <c r="C320" s="36" t="str">
        <v>ASINAN</v>
      </c>
      <c r="D320" s="43">
        <v>1278</v>
      </c>
      <c r="E320" s="25">
        <v>2.6329885862623099</v>
      </c>
      <c r="F320" s="43">
        <v>1210</v>
      </c>
      <c r="G320" s="25">
        <v>2.4928921669619677</v>
      </c>
      <c r="H320" s="26">
        <v>2488</v>
      </c>
      <c r="I320" s="25">
        <v>5.1258807532242781</v>
      </c>
    </row>
    <row r="321" spans="1:9" ht="15" customHeight="1" x14ac:dyDescent="0.3">
      <c r="A321" s="35">
        <v>248</v>
      </c>
      <c r="B321" s="35" t="str">
        <v>2003</v>
      </c>
      <c r="C321" s="36" t="str">
        <v>SEMBAWA</v>
      </c>
      <c r="D321" s="43">
        <v>1292</v>
      </c>
      <c r="E321" s="25">
        <v>2.6618319667064982</v>
      </c>
      <c r="F321" s="43">
        <v>1189</v>
      </c>
      <c r="G321" s="25">
        <v>2.4496270962956856</v>
      </c>
      <c r="H321" s="26">
        <v>2481</v>
      </c>
      <c r="I321" s="25">
        <v>5.1114590630021839</v>
      </c>
    </row>
    <row r="322" spans="1:9" ht="15" customHeight="1" x14ac:dyDescent="0.3">
      <c r="A322" s="35">
        <v>249</v>
      </c>
      <c r="B322" s="35" t="str">
        <v>2004</v>
      </c>
      <c r="C322" s="36" t="str">
        <v>KALIBOMBONG</v>
      </c>
      <c r="D322" s="43">
        <v>2303</v>
      </c>
      <c r="E322" s="25">
        <v>4.7447360830689362</v>
      </c>
      <c r="F322" s="43">
        <v>2213</v>
      </c>
      <c r="G322" s="25">
        <v>4.559314351642012</v>
      </c>
      <c r="H322" s="26">
        <v>4516</v>
      </c>
      <c r="I322" s="25">
        <v>9.3040504347109483</v>
      </c>
    </row>
    <row r="323" spans="1:9" ht="15" customHeight="1" x14ac:dyDescent="0.3">
      <c r="A323" s="35">
        <v>250</v>
      </c>
      <c r="B323" s="35" t="str">
        <v>2005</v>
      </c>
      <c r="C323" s="36" t="str">
        <v>MAJATENGAH</v>
      </c>
      <c r="D323" s="44">
        <v>1163</v>
      </c>
      <c r="E323" s="25">
        <v>2.396060818327908</v>
      </c>
      <c r="F323" s="44">
        <v>1116</v>
      </c>
      <c r="G323" s="25">
        <v>2.2992294696938482</v>
      </c>
      <c r="H323" s="26">
        <v>2279</v>
      </c>
      <c r="I323" s="25">
        <v>4.6952902880217566</v>
      </c>
    </row>
    <row r="324" spans="1:9" ht="15" customHeight="1" x14ac:dyDescent="0.3">
      <c r="A324" s="35">
        <v>251</v>
      </c>
      <c r="B324" s="35" t="str">
        <v>2006</v>
      </c>
      <c r="C324" s="36" t="str">
        <v>KALISAT KIDUL</v>
      </c>
      <c r="D324" s="43">
        <v>2160</v>
      </c>
      <c r="E324" s="25">
        <v>4.4501215542461576</v>
      </c>
      <c r="F324" s="43">
        <v>2052</v>
      </c>
      <c r="G324" s="25">
        <v>4.2276154765338498</v>
      </c>
      <c r="H324" s="26">
        <v>4212</v>
      </c>
      <c r="I324" s="25">
        <v>8.6777370307800066</v>
      </c>
    </row>
    <row r="325" spans="1:9" ht="15" customHeight="1" x14ac:dyDescent="0.3">
      <c r="A325" s="35">
        <v>252</v>
      </c>
      <c r="B325" s="35" t="str">
        <v>2007</v>
      </c>
      <c r="C325" s="36" t="str">
        <v>SIRUKEM</v>
      </c>
      <c r="D325" s="44">
        <v>1096</v>
      </c>
      <c r="E325" s="25">
        <v>2.2580246404878652</v>
      </c>
      <c r="F325" s="44">
        <v>976</v>
      </c>
      <c r="G325" s="25">
        <v>2.0107956652519676</v>
      </c>
      <c r="H325" s="26">
        <v>2072</v>
      </c>
      <c r="I325" s="25">
        <v>4.2688203057398333</v>
      </c>
    </row>
    <row r="326" spans="1:9" ht="15" customHeight="1" x14ac:dyDescent="0.3">
      <c r="A326" s="35">
        <v>253</v>
      </c>
      <c r="B326" s="35" t="str">
        <v>2008</v>
      </c>
      <c r="C326" s="36" t="str">
        <v>KERTOSARI</v>
      </c>
      <c r="D326" s="44">
        <v>1189</v>
      </c>
      <c r="E326" s="25">
        <v>2.4496270962956856</v>
      </c>
      <c r="F326" s="44">
        <v>1121</v>
      </c>
      <c r="G326" s="25">
        <v>2.3095306769953439</v>
      </c>
      <c r="H326" s="26">
        <v>2310</v>
      </c>
      <c r="I326" s="25">
        <v>4.7591577732910295</v>
      </c>
    </row>
    <row r="327" spans="1:9" ht="15" customHeight="1" x14ac:dyDescent="0.3">
      <c r="A327" s="35">
        <v>254</v>
      </c>
      <c r="B327" s="35" t="str">
        <v>2009</v>
      </c>
      <c r="C327" s="36" t="str">
        <v>SIDAKANGEN</v>
      </c>
      <c r="D327" s="43">
        <v>1752</v>
      </c>
      <c r="E327" s="25">
        <v>3.6095430384441052</v>
      </c>
      <c r="F327" s="43">
        <v>1693</v>
      </c>
      <c r="G327" s="25">
        <v>3.4879887922864561</v>
      </c>
      <c r="H327" s="26">
        <v>3445</v>
      </c>
      <c r="I327" s="25">
        <v>7.0975318307305617</v>
      </c>
    </row>
    <row r="328" spans="1:9" ht="15" customHeight="1" x14ac:dyDescent="0.3">
      <c r="A328" s="35">
        <v>255</v>
      </c>
      <c r="B328" s="35" t="str">
        <v>2010</v>
      </c>
      <c r="C328" s="36" t="str">
        <v>SIKUMPUL</v>
      </c>
      <c r="D328" s="44">
        <v>1580</v>
      </c>
      <c r="E328" s="25">
        <v>3.2551815072726522</v>
      </c>
      <c r="F328" s="44">
        <v>1563</v>
      </c>
      <c r="G328" s="25">
        <v>3.2201574024475668</v>
      </c>
      <c r="H328" s="26">
        <v>3143</v>
      </c>
      <c r="I328" s="25">
        <v>6.4753389097202181</v>
      </c>
    </row>
    <row r="329" spans="1:9" ht="15" customHeight="1" x14ac:dyDescent="0.3">
      <c r="A329" s="35">
        <v>256</v>
      </c>
      <c r="B329" s="35" t="str">
        <v>2011</v>
      </c>
      <c r="C329" s="36" t="str">
        <v>GUNUNGLANGIT</v>
      </c>
      <c r="D329" s="43">
        <v>1411</v>
      </c>
      <c r="E329" s="25">
        <v>2.9070007004820964</v>
      </c>
      <c r="F329" s="43">
        <v>1446</v>
      </c>
      <c r="G329" s="25">
        <v>2.9791091515925667</v>
      </c>
      <c r="H329" s="26">
        <v>2857</v>
      </c>
      <c r="I329" s="25">
        <v>5.8861098520746635</v>
      </c>
    </row>
    <row r="330" spans="1:9" ht="15" customHeight="1" x14ac:dyDescent="0.3">
      <c r="A330" s="35">
        <v>257</v>
      </c>
      <c r="B330" s="35" t="str">
        <v>2012</v>
      </c>
      <c r="C330" s="36" t="str">
        <v>BEDANA</v>
      </c>
      <c r="D330" s="43">
        <v>954</v>
      </c>
      <c r="E330" s="25">
        <v>1.9654703531253863</v>
      </c>
      <c r="F330" s="43">
        <v>910</v>
      </c>
      <c r="G330" s="25">
        <v>1.8748197288722239</v>
      </c>
      <c r="H330" s="26">
        <v>1864</v>
      </c>
      <c r="I330" s="25">
        <v>3.8402900819976105</v>
      </c>
    </row>
    <row r="331" spans="1:9" ht="15" customHeight="1" x14ac:dyDescent="0.3">
      <c r="A331" s="35">
        <v>258</v>
      </c>
      <c r="B331" s="35" t="str">
        <v>2013</v>
      </c>
      <c r="C331" s="36" t="str">
        <v>SIRUKUN</v>
      </c>
      <c r="D331" s="43">
        <v>1093</v>
      </c>
      <c r="E331" s="25">
        <v>2.2518439161069677</v>
      </c>
      <c r="F331" s="43">
        <v>1066</v>
      </c>
      <c r="G331" s="25">
        <v>2.1962173966788909</v>
      </c>
      <c r="H331" s="26">
        <v>2159</v>
      </c>
      <c r="I331" s="25">
        <v>4.4480613127858586</v>
      </c>
    </row>
    <row r="332" spans="1:9" ht="15" customHeight="1" x14ac:dyDescent="0.3">
      <c r="A332" s="35">
        <v>259</v>
      </c>
      <c r="B332" s="35" t="str">
        <v>2014</v>
      </c>
      <c r="C332" s="36" t="str">
        <v>KARANGANYAR</v>
      </c>
      <c r="D332" s="43">
        <v>1498</v>
      </c>
      <c r="E332" s="25">
        <v>3.0862417075281221</v>
      </c>
      <c r="F332" s="43">
        <v>1490</v>
      </c>
      <c r="G332" s="25">
        <v>3.0697597758457289</v>
      </c>
      <c r="H332" s="26">
        <v>2988</v>
      </c>
      <c r="I332" s="25">
        <v>6.156001483373851</v>
      </c>
    </row>
    <row r="333" spans="1:9" ht="15" customHeight="1" x14ac:dyDescent="0.3">
      <c r="A333" s="35">
        <v>260</v>
      </c>
      <c r="B333" s="35" t="str">
        <v>2015</v>
      </c>
      <c r="C333" s="36" t="str">
        <v>PLORENGAN</v>
      </c>
      <c r="D333" s="44">
        <v>1977</v>
      </c>
      <c r="E333" s="25">
        <v>4.0730973670114139</v>
      </c>
      <c r="F333" s="44">
        <v>1811</v>
      </c>
      <c r="G333" s="25">
        <v>3.7310972846017552</v>
      </c>
      <c r="H333" s="26">
        <v>3788</v>
      </c>
      <c r="I333" s="25">
        <v>7.8041946516131695</v>
      </c>
    </row>
    <row r="334" spans="1:9" ht="15" customHeight="1" x14ac:dyDescent="0.3">
      <c r="A334" s="35">
        <v>261</v>
      </c>
      <c r="B334" s="35" t="str">
        <v>2016</v>
      </c>
      <c r="C334" s="36" t="str">
        <v>KASINOMAN</v>
      </c>
      <c r="D334" s="22">
        <v>1484</v>
      </c>
      <c r="E334" s="46">
        <v>3.0573983270839342</v>
      </c>
      <c r="F334" s="22">
        <v>1423</v>
      </c>
      <c r="G334" s="46">
        <v>2.9317235980056862</v>
      </c>
      <c r="H334" s="26">
        <v>2907</v>
      </c>
      <c r="I334" s="46">
        <v>5.9891219250896199</v>
      </c>
    </row>
    <row r="335" spans="1:9" ht="15" customHeight="1" x14ac:dyDescent="0.3">
      <c r="A335" s="79" t="s">
        <v>575</v>
      </c>
      <c r="B335" s="79"/>
      <c r="C335" s="79"/>
      <c r="D335" s="39">
        <f>SUM(D319:D334)</f>
        <v>24796</v>
      </c>
      <c r="E335" s="40">
        <f>D335/$H$335*100</f>
        <v>51.085747249577651</v>
      </c>
      <c r="F335" s="39">
        <f>SUM(F319:F334)</f>
        <v>23742</v>
      </c>
      <c r="G335" s="40">
        <f>F335/$H$335*100</f>
        <v>48.914252750422349</v>
      </c>
      <c r="H335" s="39">
        <f>SUM(H319:H334)</f>
        <v>48538</v>
      </c>
      <c r="I335" s="40">
        <f>H335/$H$335*100</f>
        <v>100</v>
      </c>
    </row>
    <row r="336" spans="1:9" ht="15" customHeight="1" x14ac:dyDescent="0.3">
      <c r="A336" s="80" t="s">
        <v>605</v>
      </c>
      <c r="B336" s="81"/>
      <c r="C336" s="81"/>
      <c r="D336" s="81"/>
      <c r="E336" s="81"/>
      <c r="F336" s="81"/>
      <c r="G336" s="81"/>
      <c r="H336" s="81"/>
      <c r="I336" s="82"/>
    </row>
    <row r="337" spans="1:9" ht="15" customHeight="1" x14ac:dyDescent="0.3">
      <c r="A337" s="76" t="s">
        <v>571</v>
      </c>
      <c r="B337" s="76" t="s">
        <v>586</v>
      </c>
      <c r="C337" s="76"/>
      <c r="D337" s="77" t="s">
        <v>573</v>
      </c>
      <c r="E337" s="77"/>
      <c r="F337" s="77" t="s">
        <v>574</v>
      </c>
      <c r="G337" s="77"/>
      <c r="H337" s="78" t="s">
        <v>575</v>
      </c>
      <c r="I337" s="78"/>
    </row>
    <row r="338" spans="1:9" ht="15" customHeight="1" x14ac:dyDescent="0.3">
      <c r="A338" s="76"/>
      <c r="B338" s="32" t="s">
        <v>576</v>
      </c>
      <c r="C338" s="32" t="s">
        <v>577</v>
      </c>
      <c r="D338" s="33" t="s">
        <v>575</v>
      </c>
      <c r="E338" s="33" t="s">
        <v>578</v>
      </c>
      <c r="F338" s="33" t="s">
        <v>575</v>
      </c>
      <c r="G338" s="33" t="s">
        <v>578</v>
      </c>
      <c r="H338" s="34" t="s">
        <v>587</v>
      </c>
      <c r="I338" s="34" t="s">
        <v>578</v>
      </c>
    </row>
    <row r="339" spans="1:9" ht="15" customHeight="1" x14ac:dyDescent="0.3">
      <c r="A339" s="35">
        <v>262</v>
      </c>
      <c r="B339" s="35" t="str" cm="1">
        <f t="array" ref="B339:B346">RIGHT(_xlfn._xlws.FILTER('AGR_JK_3304_KAB. BANJARNEGARA'!$B$3:$B$300,(LEN('AGR_JK_3304_KAB. BANJARNEGARA'!$B$3:$B$300)=13)*(LEFT('AGR_JK_3304_KAB. BANJARNEGARA'!$B$3:$B$300,8)=MID(A336,13,8))),4)</f>
        <v>2001</v>
      </c>
      <c r="C339" s="36" t="str" cm="1">
        <f t="array" ref="C339:D346">_xlfn._xlws.FILTER('AGR_JK_3304_KAB. BANJARNEGARA'!$C$3:$D$300,(LEN('AGR_JK_3304_KAB. BANJARNEGARA'!$B$3:$B$300)=13)*(LEFT('AGR_JK_3304_KAB. BANJARNEGARA'!$B$3:$B$300,8)=MID(A336,13,8)))</f>
        <v>PANDANARUM</v>
      </c>
      <c r="D339" s="22">
        <v>1570</v>
      </c>
      <c r="E339" s="25" cm="1">
        <f t="array" ref="E339:E346">D339:D346/$H$347*100</f>
        <v>6.6269891519986492</v>
      </c>
      <c r="F339" s="22" cm="1">
        <f t="array" ref="F339:F346">_xlfn._xlws.FILTER('AGR_JK_3304_KAB. BANJARNEGARA'!$E$3:$E$300,(LEN('AGR_JK_3304_KAB. BANJARNEGARA'!$B$3:$B$300)=13)*(LEFT('AGR_JK_3304_KAB. BANJARNEGARA'!$B$3:$B$300,8)=MID(A336,13,8)))</f>
        <v>1517</v>
      </c>
      <c r="G339" s="25" cm="1">
        <f t="array" ref="G339:G346">F339:F346/$H$347*100</f>
        <v>6.40327550546621</v>
      </c>
      <c r="H339" s="26" cm="1">
        <f t="array" ref="H339:H346">_xlfn._xlws.FILTER('AGR_JK_3304_KAB. BANJARNEGARA'!$F$3:$F$300,(LEN('AGR_JK_3304_KAB. BANJARNEGARA'!$B$3:$B$300)=13)*(LEFT('AGR_JK_3304_KAB. BANJARNEGARA'!$B$3:$B$300,8)=MID(A336,13,8)))</f>
        <v>3087</v>
      </c>
      <c r="I339" s="25" cm="1">
        <f t="array" ref="I339:I346">H339:H346/$H$347*100</f>
        <v>13.03026465746486</v>
      </c>
    </row>
    <row r="340" spans="1:9" ht="15" customHeight="1" x14ac:dyDescent="0.3">
      <c r="A340" s="35">
        <v>263</v>
      </c>
      <c r="B340" s="35" t="str">
        <v>2002</v>
      </c>
      <c r="C340" s="36" t="str">
        <v>SINDUAJI</v>
      </c>
      <c r="D340" s="43">
        <v>990</v>
      </c>
      <c r="E340" s="25">
        <v>4.1788020767380019</v>
      </c>
      <c r="F340" s="43">
        <v>918</v>
      </c>
      <c r="G340" s="25">
        <v>3.8748891984297833</v>
      </c>
      <c r="H340" s="26">
        <v>1908</v>
      </c>
      <c r="I340" s="25">
        <v>8.0536912751677843</v>
      </c>
    </row>
    <row r="341" spans="1:9" ht="15" customHeight="1" x14ac:dyDescent="0.3">
      <c r="A341" s="35">
        <v>264</v>
      </c>
      <c r="B341" s="35" t="str">
        <v>2003</v>
      </c>
      <c r="C341" s="36" t="str">
        <v>PASEGERAN</v>
      </c>
      <c r="D341" s="43">
        <v>1547</v>
      </c>
      <c r="E341" s="25">
        <v>6.5299058714279683</v>
      </c>
      <c r="F341" s="43">
        <v>1458</v>
      </c>
      <c r="G341" s="25">
        <v>6.1542357857414212</v>
      </c>
      <c r="H341" s="26">
        <v>3005</v>
      </c>
      <c r="I341" s="25">
        <v>12.684141657169389</v>
      </c>
    </row>
    <row r="342" spans="1:9" ht="15" customHeight="1" x14ac:dyDescent="0.3">
      <c r="A342" s="35">
        <v>265</v>
      </c>
      <c r="B342" s="35" t="str">
        <v>2004</v>
      </c>
      <c r="C342" s="36" t="str">
        <v>PINGIT LOR</v>
      </c>
      <c r="D342" s="43">
        <v>1176</v>
      </c>
      <c r="E342" s="25">
        <v>4.9639103457008993</v>
      </c>
      <c r="F342" s="43">
        <v>1151</v>
      </c>
      <c r="G342" s="25">
        <v>4.8583850407327676</v>
      </c>
      <c r="H342" s="26">
        <v>2327</v>
      </c>
      <c r="I342" s="25">
        <v>9.8222953864336677</v>
      </c>
    </row>
    <row r="343" spans="1:9" ht="15" customHeight="1" x14ac:dyDescent="0.3">
      <c r="A343" s="35">
        <v>266</v>
      </c>
      <c r="B343" s="35" t="str">
        <v>2005</v>
      </c>
      <c r="C343" s="36" t="str">
        <v>LAWEN</v>
      </c>
      <c r="D343" s="44">
        <v>2446</v>
      </c>
      <c r="E343" s="25">
        <v>10.324595838081972</v>
      </c>
      <c r="F343" s="44">
        <v>2355</v>
      </c>
      <c r="G343" s="25">
        <v>9.9404837279979752</v>
      </c>
      <c r="H343" s="26">
        <v>4801</v>
      </c>
      <c r="I343" s="25">
        <v>20.265079566079947</v>
      </c>
    </row>
    <row r="344" spans="1:9" ht="15" customHeight="1" x14ac:dyDescent="0.3">
      <c r="A344" s="35">
        <v>267</v>
      </c>
      <c r="B344" s="35" t="str">
        <v>2006</v>
      </c>
      <c r="C344" s="36" t="str">
        <v>SIRONGGE</v>
      </c>
      <c r="D344" s="43">
        <v>1652</v>
      </c>
      <c r="E344" s="25">
        <v>6.97311215229412</v>
      </c>
      <c r="F344" s="43">
        <v>1600</v>
      </c>
      <c r="G344" s="25">
        <v>6.7536195179604075</v>
      </c>
      <c r="H344" s="26">
        <v>3252</v>
      </c>
      <c r="I344" s="25">
        <v>13.726731670254527</v>
      </c>
    </row>
    <row r="345" spans="1:9" ht="15" customHeight="1" x14ac:dyDescent="0.3">
      <c r="A345" s="35">
        <v>268</v>
      </c>
      <c r="B345" s="35" t="str">
        <v>2007</v>
      </c>
      <c r="C345" s="36" t="str">
        <v>PRINGAMBA</v>
      </c>
      <c r="D345" s="44">
        <v>1328</v>
      </c>
      <c r="E345" s="25">
        <v>5.6055041999071378</v>
      </c>
      <c r="F345" s="44">
        <v>1224</v>
      </c>
      <c r="G345" s="25">
        <v>5.166518931239712</v>
      </c>
      <c r="H345" s="26">
        <v>2552</v>
      </c>
      <c r="I345" s="25">
        <v>10.772023131146849</v>
      </c>
    </row>
    <row r="346" spans="1:9" ht="15" customHeight="1" x14ac:dyDescent="0.3">
      <c r="A346" s="35">
        <v>269</v>
      </c>
      <c r="B346" s="35" t="str">
        <v>2008</v>
      </c>
      <c r="C346" s="36" t="str">
        <v>BEJI</v>
      </c>
      <c r="D346" s="44">
        <v>1424</v>
      </c>
      <c r="E346" s="25">
        <v>6.0107213709847622</v>
      </c>
      <c r="F346" s="44">
        <v>1335</v>
      </c>
      <c r="G346" s="25">
        <v>5.6350512852982142</v>
      </c>
      <c r="H346" s="26">
        <v>2759</v>
      </c>
      <c r="I346" s="25">
        <v>11.645772656282977</v>
      </c>
    </row>
    <row r="347" spans="1:9" ht="15" customHeight="1" x14ac:dyDescent="0.3">
      <c r="A347" s="79" t="s">
        <v>575</v>
      </c>
      <c r="B347" s="79"/>
      <c r="C347" s="79"/>
      <c r="D347" s="39">
        <f>SUM(D339:D346)</f>
        <v>12133</v>
      </c>
      <c r="E347" s="40">
        <f>D347/$H$347*100</f>
        <v>51.213541007133514</v>
      </c>
      <c r="F347" s="39">
        <f>SUM(F339:F346)</f>
        <v>11558</v>
      </c>
      <c r="G347" s="40">
        <f>F347/$H$347*100</f>
        <v>48.786458992866486</v>
      </c>
      <c r="H347" s="39">
        <f>SUM(H339:H346)</f>
        <v>23691</v>
      </c>
      <c r="I347" s="40">
        <f>H347/$H$347*100</f>
        <v>100</v>
      </c>
    </row>
    <row r="348" spans="1:9" ht="15" customHeight="1" x14ac:dyDescent="0.3">
      <c r="A348" s="80" t="s">
        <v>606</v>
      </c>
      <c r="B348" s="81"/>
      <c r="C348" s="81"/>
      <c r="D348" s="81"/>
      <c r="E348" s="81"/>
      <c r="F348" s="81"/>
      <c r="G348" s="81"/>
      <c r="H348" s="81"/>
      <c r="I348" s="82"/>
    </row>
    <row r="349" spans="1:9" ht="15" customHeight="1" x14ac:dyDescent="0.3">
      <c r="A349" s="76" t="s">
        <v>571</v>
      </c>
      <c r="B349" s="76" t="s">
        <v>586</v>
      </c>
      <c r="C349" s="76"/>
      <c r="D349" s="77" t="s">
        <v>573</v>
      </c>
      <c r="E349" s="77"/>
      <c r="F349" s="77" t="s">
        <v>574</v>
      </c>
      <c r="G349" s="77"/>
      <c r="H349" s="78" t="s">
        <v>575</v>
      </c>
      <c r="I349" s="78"/>
    </row>
    <row r="350" spans="1:9" ht="15" customHeight="1" x14ac:dyDescent="0.3">
      <c r="A350" s="76"/>
      <c r="B350" s="32" t="s">
        <v>576</v>
      </c>
      <c r="C350" s="32" t="s">
        <v>577</v>
      </c>
      <c r="D350" s="33" t="s">
        <v>575</v>
      </c>
      <c r="E350" s="33" t="s">
        <v>578</v>
      </c>
      <c r="F350" s="33" t="s">
        <v>575</v>
      </c>
      <c r="G350" s="33" t="s">
        <v>578</v>
      </c>
      <c r="H350" s="34" t="s">
        <v>587</v>
      </c>
      <c r="I350" s="34" t="s">
        <v>578</v>
      </c>
    </row>
    <row r="351" spans="1:9" ht="15" customHeight="1" x14ac:dyDescent="0.3">
      <c r="A351" s="36">
        <v>270</v>
      </c>
      <c r="B351" s="35" t="str" cm="1">
        <f t="array" ref="B351:B359">RIGHT(_xlfn._xlws.FILTER('AGR_JK_3304_KAB. BANJARNEGARA'!$B$3:$B$300,(LEN('AGR_JK_3304_KAB. BANJARNEGARA'!$B$3:$B$300)=13)*(LEFT('AGR_JK_3304_KAB. BANJARNEGARA'!$B$3:$B$300,8)=MID(A348,13,8))),4)</f>
        <v>2001</v>
      </c>
      <c r="C351" s="36" t="str" cm="1">
        <f t="array" ref="C351:D359">_xlfn._xlws.FILTER('AGR_JK_3304_KAB. BANJARNEGARA'!$C$3:$D$300,(LEN('AGR_JK_3304_KAB. BANJARNEGARA'!$B$3:$B$300)=13)*(LEFT('AGR_JK_3304_KAB. BANJARNEGARA'!$B$3:$B$300,8)=MID(A348,13,8)))</f>
        <v>PAGEDONGAN</v>
      </c>
      <c r="D351" s="22">
        <v>3450</v>
      </c>
      <c r="E351" s="25" cm="1">
        <f t="array" ref="E351:E359">D351:D359/$H$360*100</f>
        <v>7.7725460157253252</v>
      </c>
      <c r="F351" s="22" cm="1">
        <f t="array" ref="F351:F359">_xlfn._xlws.FILTER('AGR_JK_3304_KAB. BANJARNEGARA'!$E$3:$E$300,(LEN('AGR_JK_3304_KAB. BANJARNEGARA'!$B$3:$B$300)=13)*(LEFT('AGR_JK_3304_KAB. BANJARNEGARA'!$B$3:$B$300,8)=MID(A348,13,8)))</f>
        <v>3284</v>
      </c>
      <c r="G351" s="25" cm="1">
        <f t="array" ref="G351:G359">F351:F359/$H$360*100</f>
        <v>7.3985626422150634</v>
      </c>
      <c r="H351" s="26" cm="1">
        <f t="array" ref="H351:H359">_xlfn._xlws.FILTER('AGR_JK_3304_KAB. BANJARNEGARA'!$F$3:$F$300,(LEN('AGR_JK_3304_KAB. BANJARNEGARA'!$B$3:$B$300)=13)*(LEFT('AGR_JK_3304_KAB. BANJARNEGARA'!$B$3:$B$300,8)=MID(A348,13,8)))</f>
        <v>6734</v>
      </c>
      <c r="I351" s="25" cm="1">
        <f t="array" ref="I351:I359">H351:H359/$H$360*100</f>
        <v>15.171108657940389</v>
      </c>
    </row>
    <row r="352" spans="1:9" ht="15" customHeight="1" x14ac:dyDescent="0.3">
      <c r="A352" s="36">
        <v>271</v>
      </c>
      <c r="B352" s="35" t="str">
        <v>2002</v>
      </c>
      <c r="C352" s="36" t="str">
        <v>GUNUNGJATI</v>
      </c>
      <c r="D352" s="43">
        <v>1710</v>
      </c>
      <c r="E352" s="25">
        <v>3.8524793295334216</v>
      </c>
      <c r="F352" s="43">
        <v>1629</v>
      </c>
      <c r="G352" s="25">
        <v>3.6699934665555234</v>
      </c>
      <c r="H352" s="26">
        <v>3339</v>
      </c>
      <c r="I352" s="25">
        <v>7.5224727960889455</v>
      </c>
    </row>
    <row r="353" spans="1:9" ht="15" customHeight="1" x14ac:dyDescent="0.3">
      <c r="A353" s="36">
        <v>272</v>
      </c>
      <c r="B353" s="35" t="str">
        <v>2003</v>
      </c>
      <c r="C353" s="36" t="str">
        <v>TWELAGIRI</v>
      </c>
      <c r="D353" s="43">
        <v>2997</v>
      </c>
      <c r="E353" s="25">
        <v>6.7519769301822601</v>
      </c>
      <c r="F353" s="43">
        <v>2747</v>
      </c>
      <c r="G353" s="25">
        <v>6.1887489580282518</v>
      </c>
      <c r="H353" s="26">
        <v>5744</v>
      </c>
      <c r="I353" s="25">
        <v>12.94072588821051</v>
      </c>
    </row>
    <row r="354" spans="1:9" ht="15" customHeight="1" x14ac:dyDescent="0.3">
      <c r="A354" s="36">
        <v>273</v>
      </c>
      <c r="B354" s="35" t="str">
        <v>2004</v>
      </c>
      <c r="C354" s="36" t="str">
        <v>KEBUTUHDUWUR</v>
      </c>
      <c r="D354" s="43">
        <v>3271</v>
      </c>
      <c r="E354" s="25">
        <v>7.3692747876630547</v>
      </c>
      <c r="F354" s="43">
        <v>3072</v>
      </c>
      <c r="G354" s="25">
        <v>6.9209453218284631</v>
      </c>
      <c r="H354" s="26">
        <v>6343</v>
      </c>
      <c r="I354" s="25">
        <v>14.290220109491516</v>
      </c>
    </row>
    <row r="355" spans="1:9" ht="15" customHeight="1" x14ac:dyDescent="0.3">
      <c r="A355" s="36">
        <v>274</v>
      </c>
      <c r="B355" s="35" t="str">
        <v>2005</v>
      </c>
      <c r="C355" s="36" t="str">
        <v>KEBUTUHJURANG</v>
      </c>
      <c r="D355" s="44">
        <v>2405</v>
      </c>
      <c r="E355" s="25">
        <v>5.4182530921215672</v>
      </c>
      <c r="F355" s="44">
        <v>2337</v>
      </c>
      <c r="G355" s="25">
        <v>5.2650550836956764</v>
      </c>
      <c r="H355" s="26">
        <v>4742</v>
      </c>
      <c r="I355" s="25">
        <v>10.683308175817244</v>
      </c>
    </row>
    <row r="356" spans="1:9" ht="15" customHeight="1" x14ac:dyDescent="0.3">
      <c r="A356" s="36">
        <v>275</v>
      </c>
      <c r="B356" s="35" t="str">
        <v>2006</v>
      </c>
      <c r="C356" s="36" t="str">
        <v>PESANGKALAN</v>
      </c>
      <c r="D356" s="43">
        <v>1823</v>
      </c>
      <c r="E356" s="25">
        <v>4.1070583729470336</v>
      </c>
      <c r="F356" s="43">
        <v>1726</v>
      </c>
      <c r="G356" s="25">
        <v>3.8885259197512783</v>
      </c>
      <c r="H356" s="26">
        <v>3549</v>
      </c>
      <c r="I356" s="25">
        <v>7.9955842926983127</v>
      </c>
    </row>
    <row r="357" spans="1:9" ht="15" customHeight="1" x14ac:dyDescent="0.3">
      <c r="A357" s="36">
        <v>276</v>
      </c>
      <c r="B357" s="35" t="str">
        <v>2007</v>
      </c>
      <c r="C357" s="36" t="str">
        <v>DUREN</v>
      </c>
      <c r="D357" s="44">
        <v>1562</v>
      </c>
      <c r="E357" s="25">
        <v>3.5190483700182482</v>
      </c>
      <c r="F357" s="44">
        <v>1462</v>
      </c>
      <c r="G357" s="25">
        <v>3.2937571811566451</v>
      </c>
      <c r="H357" s="26">
        <v>3024</v>
      </c>
      <c r="I357" s="25">
        <v>6.8128055511748942</v>
      </c>
    </row>
    <row r="358" spans="1:9" ht="15" customHeight="1" x14ac:dyDescent="0.3">
      <c r="A358" s="36">
        <v>277</v>
      </c>
      <c r="B358" s="35" t="str">
        <v>2008</v>
      </c>
      <c r="C358" s="36" t="str">
        <v>LEBAKWANGI</v>
      </c>
      <c r="D358" s="44">
        <v>2577</v>
      </c>
      <c r="E358" s="25">
        <v>5.8057539369635247</v>
      </c>
      <c r="F358" s="44">
        <v>2540</v>
      </c>
      <c r="G358" s="25">
        <v>5.7223961970847323</v>
      </c>
      <c r="H358" s="26">
        <v>5117</v>
      </c>
      <c r="I358" s="25">
        <v>11.528150134048257</v>
      </c>
    </row>
    <row r="359" spans="1:9" ht="15" customHeight="1" x14ac:dyDescent="0.3">
      <c r="A359" s="36">
        <v>278</v>
      </c>
      <c r="B359" s="35" t="str">
        <v>2009</v>
      </c>
      <c r="C359" s="36" t="str">
        <v>GENTANSARI</v>
      </c>
      <c r="D359" s="43">
        <v>2963</v>
      </c>
      <c r="E359" s="25">
        <v>6.6753779259693156</v>
      </c>
      <c r="F359" s="43">
        <v>2832</v>
      </c>
      <c r="G359" s="25">
        <v>6.3802464685606148</v>
      </c>
      <c r="H359" s="26">
        <v>5795</v>
      </c>
      <c r="I359" s="25">
        <v>13.05562439452993</v>
      </c>
    </row>
    <row r="360" spans="1:9" ht="15" customHeight="1" x14ac:dyDescent="0.3">
      <c r="A360" s="79" t="s">
        <v>575</v>
      </c>
      <c r="B360" s="79"/>
      <c r="C360" s="79"/>
      <c r="D360" s="39">
        <f>SUM(D351:D359)</f>
        <v>22758</v>
      </c>
      <c r="E360" s="40">
        <f>D360/$H$360*100</f>
        <v>51.271768761123745</v>
      </c>
      <c r="F360" s="39">
        <f>SUM(F351:F359)</f>
        <v>21629</v>
      </c>
      <c r="G360" s="40">
        <f>F360/$H$360*100</f>
        <v>48.728231238876248</v>
      </c>
      <c r="H360" s="39">
        <f>SUM(H351:H359)</f>
        <v>44387</v>
      </c>
      <c r="I360" s="40">
        <f>H360/$H$360*100</f>
        <v>100</v>
      </c>
    </row>
    <row r="361" spans="1:9" ht="15" customHeight="1" x14ac:dyDescent="0.3">
      <c r="A361" s="83" t="s">
        <v>580</v>
      </c>
      <c r="B361" s="83"/>
      <c r="C361" s="83"/>
      <c r="D361" s="47" cm="1">
        <f t="array" ref="D361">SUM(_xlfn._xlws.FILTER(D3:D360,$A$3:$A$360="Jumlah"))</f>
        <v>539745</v>
      </c>
      <c r="E361" s="40">
        <f>D361/H361*100</f>
        <v>50.858980568344357</v>
      </c>
      <c r="F361" s="47" cm="1">
        <f t="array" ref="F361">SUM(_xlfn._xlws.FILTER(F3:F360,$A$3:$A$360="Jumlah"))</f>
        <v>521513</v>
      </c>
      <c r="G361" s="40">
        <f>F361/H361*100</f>
        <v>49.141019431655643</v>
      </c>
      <c r="H361" s="48" cm="1">
        <f t="array" ref="H361">SUM(_xlfn._xlws.FILTER(H3:H360,$A$3:$A$360="Jumlah"))</f>
        <v>1061258</v>
      </c>
      <c r="I361" s="41">
        <f>(D361+F361)/H361*100</f>
        <v>100</v>
      </c>
    </row>
  </sheetData>
  <sheetProtection algorithmName="SHA-512" hashValue="dr0wY46cbmgCTdf29IaY+WkDJix+RNHZeVYs3WMNI8Owe7RaEtBzOW99uOdMj46vOu/CoUkJl3SyHV+ig9zCVg==" saltValue="NfuxBPbTvR0L/MBEdmogSQ==" spinCount="100000" sheet="1" objects="1" scenarios="1"/>
  <mergeCells count="142">
    <mergeCell ref="A360:C360"/>
    <mergeCell ref="A361:C361"/>
    <mergeCell ref="A347:C347"/>
    <mergeCell ref="A348:I348"/>
    <mergeCell ref="A349:A350"/>
    <mergeCell ref="B349:C349"/>
    <mergeCell ref="D349:E349"/>
    <mergeCell ref="F349:G349"/>
    <mergeCell ref="H349:I349"/>
    <mergeCell ref="A335:C335"/>
    <mergeCell ref="A336:I336"/>
    <mergeCell ref="A337:A338"/>
    <mergeCell ref="B337:C337"/>
    <mergeCell ref="D337:E337"/>
    <mergeCell ref="F337:G337"/>
    <mergeCell ref="H337:I337"/>
    <mergeCell ref="A315:C315"/>
    <mergeCell ref="A316:I316"/>
    <mergeCell ref="A317:A318"/>
    <mergeCell ref="B317:C317"/>
    <mergeCell ref="D317:E317"/>
    <mergeCell ref="F317:G317"/>
    <mergeCell ref="H317:I317"/>
    <mergeCell ref="A294:C294"/>
    <mergeCell ref="A295:I295"/>
    <mergeCell ref="A296:A297"/>
    <mergeCell ref="B296:C296"/>
    <mergeCell ref="D296:E296"/>
    <mergeCell ref="F296:G296"/>
    <mergeCell ref="H296:I296"/>
    <mergeCell ref="A282:C282"/>
    <mergeCell ref="A283:I283"/>
    <mergeCell ref="A284:A285"/>
    <mergeCell ref="B284:C284"/>
    <mergeCell ref="D284:E284"/>
    <mergeCell ref="F284:G284"/>
    <mergeCell ref="H284:I284"/>
    <mergeCell ref="A261:C261"/>
    <mergeCell ref="A262:I262"/>
    <mergeCell ref="A263:A264"/>
    <mergeCell ref="B263:C263"/>
    <mergeCell ref="D263:E263"/>
    <mergeCell ref="F263:G263"/>
    <mergeCell ref="H263:I263"/>
    <mergeCell ref="A241:C241"/>
    <mergeCell ref="A242:I242"/>
    <mergeCell ref="A243:A244"/>
    <mergeCell ref="B243:C243"/>
    <mergeCell ref="D243:E243"/>
    <mergeCell ref="F243:G243"/>
    <mergeCell ref="H243:I243"/>
    <mergeCell ref="A224:C224"/>
    <mergeCell ref="A225:I225"/>
    <mergeCell ref="A226:A227"/>
    <mergeCell ref="B226:C226"/>
    <mergeCell ref="D226:E226"/>
    <mergeCell ref="F226:G226"/>
    <mergeCell ref="H226:I226"/>
    <mergeCell ref="A203:C203"/>
    <mergeCell ref="A204:I204"/>
    <mergeCell ref="A205:A206"/>
    <mergeCell ref="B205:C205"/>
    <mergeCell ref="D205:E205"/>
    <mergeCell ref="F205:G205"/>
    <mergeCell ref="H205:I205"/>
    <mergeCell ref="A188:C188"/>
    <mergeCell ref="A189:I189"/>
    <mergeCell ref="A190:A191"/>
    <mergeCell ref="B190:C190"/>
    <mergeCell ref="D190:E190"/>
    <mergeCell ref="F190:G190"/>
    <mergeCell ref="H190:I190"/>
    <mergeCell ref="A173:C173"/>
    <mergeCell ref="A174:I174"/>
    <mergeCell ref="A175:A176"/>
    <mergeCell ref="B175:C175"/>
    <mergeCell ref="D175:E175"/>
    <mergeCell ref="F175:G175"/>
    <mergeCell ref="H175:I175"/>
    <mergeCell ref="A152:C152"/>
    <mergeCell ref="A153:I153"/>
    <mergeCell ref="A154:A155"/>
    <mergeCell ref="B154:C154"/>
    <mergeCell ref="D154:E154"/>
    <mergeCell ref="F154:G154"/>
    <mergeCell ref="H154:I154"/>
    <mergeCell ref="A128:C128"/>
    <mergeCell ref="A129:I129"/>
    <mergeCell ref="A130:A131"/>
    <mergeCell ref="B130:C130"/>
    <mergeCell ref="D130:E130"/>
    <mergeCell ref="F130:G130"/>
    <mergeCell ref="H130:I130"/>
    <mergeCell ref="A109:C109"/>
    <mergeCell ref="A110:I110"/>
    <mergeCell ref="A111:A112"/>
    <mergeCell ref="B111:C111"/>
    <mergeCell ref="D111:E111"/>
    <mergeCell ref="F111:G111"/>
    <mergeCell ref="H111:I111"/>
    <mergeCell ref="A92:C92"/>
    <mergeCell ref="A93:I93"/>
    <mergeCell ref="A94:A95"/>
    <mergeCell ref="B94:C94"/>
    <mergeCell ref="D94:E94"/>
    <mergeCell ref="F94:G94"/>
    <mergeCell ref="H94:I94"/>
    <mergeCell ref="A70:C70"/>
    <mergeCell ref="A71:I71"/>
    <mergeCell ref="A72:A73"/>
    <mergeCell ref="B72:C72"/>
    <mergeCell ref="D72:E72"/>
    <mergeCell ref="F72:G72"/>
    <mergeCell ref="H72:I72"/>
    <mergeCell ref="A53:C53"/>
    <mergeCell ref="A54:I54"/>
    <mergeCell ref="A55:A56"/>
    <mergeCell ref="B55:C55"/>
    <mergeCell ref="D55:E55"/>
    <mergeCell ref="F55:G55"/>
    <mergeCell ref="H55:I55"/>
    <mergeCell ref="A35:A36"/>
    <mergeCell ref="B35:C35"/>
    <mergeCell ref="D35:E35"/>
    <mergeCell ref="F35:G35"/>
    <mergeCell ref="H35:I35"/>
    <mergeCell ref="A21:C21"/>
    <mergeCell ref="A22:I22"/>
    <mergeCell ref="A23:A24"/>
    <mergeCell ref="B23:C23"/>
    <mergeCell ref="D23:E23"/>
    <mergeCell ref="F23:G23"/>
    <mergeCell ref="H23:I23"/>
    <mergeCell ref="A1:I1"/>
    <mergeCell ref="A3:I3"/>
    <mergeCell ref="A4:A5"/>
    <mergeCell ref="B4:C4"/>
    <mergeCell ref="D4:E4"/>
    <mergeCell ref="F4:G4"/>
    <mergeCell ref="H4:I4"/>
    <mergeCell ref="A33:C33"/>
    <mergeCell ref="A34:I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AGR_JK_3304_KAB. BANJARNEGARA</vt:lpstr>
      <vt:lpstr>Kab</vt:lpstr>
      <vt:lpstr>Kec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WIN-L4A8TH15MKI\U_dahyu</dc:creator>
  <cp:lastModifiedBy>grr</cp:lastModifiedBy>
  <dcterms:created xsi:type="dcterms:W3CDTF">2023-07-24T03:45:12Z</dcterms:created>
  <dcterms:modified xsi:type="dcterms:W3CDTF">2024-08-29T02:36:34Z</dcterms:modified>
</cp:coreProperties>
</file>