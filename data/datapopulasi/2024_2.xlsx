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G:\My Drive\PIAK\DKB\2024\2024_02\2024_02_Data Kependudukan\"/>
    </mc:Choice>
  </mc:AlternateContent>
  <xr:revisionPtr revIDLastSave="0" documentId="13_ncr:1_{F2EC1AA2-D37E-4E34-B35D-094049D3E409}" xr6:coauthVersionLast="47" xr6:coauthVersionMax="47" xr10:uidLastSave="{00000000-0000-0000-0000-000000000000}"/>
  <bookViews>
    <workbookView xWindow="-105" yWindow="15" windowWidth="29010" windowHeight="7815" activeTab="2" xr2:uid="{00000000-000D-0000-FFFF-FFFF00000000}"/>
    <workbookView xWindow="-150" yWindow="7740" windowWidth="29010" windowHeight="7755" activeTab="3" xr2:uid="{DFB933C5-5F99-4039-A7EB-04FD94C10F3E}"/>
  </bookViews>
  <sheets>
    <sheet name="AGR_JK_3304_KAB. BANJARNEGARA" sheetId="7" r:id="rId1"/>
    <sheet name="Kab" sheetId="4" r:id="rId2"/>
    <sheet name="Kec" sheetId="8" r:id="rId3"/>
    <sheet name="Desa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1" i="9" l="1" a="1"/>
  <c r="H351" i="9" s="1"/>
  <c r="I351" i="9" s="1" a="1"/>
  <c r="I351" i="9" s="1"/>
  <c r="F351" i="9" a="1"/>
  <c r="F351" i="9" s="1"/>
  <c r="C351" i="9" a="1"/>
  <c r="E351" i="9" s="1" a="1"/>
  <c r="E351" i="9" s="1"/>
  <c r="B351" i="9" a="1"/>
  <c r="B351" i="9" s="1"/>
  <c r="H339" i="9" a="1"/>
  <c r="H339" i="9" s="1"/>
  <c r="I339" i="9" s="1" a="1"/>
  <c r="I339" i="9" s="1"/>
  <c r="F339" i="9" a="1"/>
  <c r="F339" i="9" s="1"/>
  <c r="G339" i="9" s="1" a="1"/>
  <c r="G339" i="9" s="1"/>
  <c r="C339" i="9" a="1"/>
  <c r="E339" i="9" s="1" a="1"/>
  <c r="E339" i="9" s="1"/>
  <c r="B339" i="9" a="1"/>
  <c r="B339" i="9" s="1"/>
  <c r="H319" i="9" a="1"/>
  <c r="H319" i="9" s="1"/>
  <c r="I319" i="9" s="1" a="1"/>
  <c r="I319" i="9" s="1"/>
  <c r="F319" i="9" a="1"/>
  <c r="F319" i="9" s="1"/>
  <c r="G319" i="9" s="1" a="1"/>
  <c r="G319" i="9" s="1"/>
  <c r="C319" i="9" a="1"/>
  <c r="E319" i="9" s="1" a="1"/>
  <c r="E319" i="9" s="1"/>
  <c r="B319" i="9" a="1"/>
  <c r="B319" i="9" s="1"/>
  <c r="D315" i="9"/>
  <c r="H298" i="9" a="1"/>
  <c r="H298" i="9" s="1"/>
  <c r="F298" i="9" a="1"/>
  <c r="F298" i="9" s="1"/>
  <c r="C298" i="9" a="1"/>
  <c r="E298" i="9" s="1" a="1"/>
  <c r="E298" i="9" s="1"/>
  <c r="B298" i="9" a="1"/>
  <c r="B298" i="9" s="1"/>
  <c r="H286" i="9" a="1"/>
  <c r="H286" i="9" s="1"/>
  <c r="I286" i="9" s="1" a="1"/>
  <c r="I286" i="9" s="1"/>
  <c r="F286" i="9" a="1"/>
  <c r="F286" i="9" s="1"/>
  <c r="C286" i="9" a="1"/>
  <c r="B286" i="9" a="1"/>
  <c r="B286" i="9" s="1"/>
  <c r="H265" i="9" a="1"/>
  <c r="H265" i="9" s="1"/>
  <c r="F265" i="9" a="1"/>
  <c r="F265" i="9" s="1"/>
  <c r="G265" i="9" s="1" a="1"/>
  <c r="G265" i="9" s="1"/>
  <c r="C265" i="9" a="1"/>
  <c r="E265" i="9" s="1" a="1"/>
  <c r="E265" i="9" s="1"/>
  <c r="B265" i="9" a="1"/>
  <c r="B265" i="9" s="1"/>
  <c r="H245" i="9" a="1"/>
  <c r="H245" i="9" s="1"/>
  <c r="I245" i="9" s="1" a="1"/>
  <c r="I245" i="9" s="1"/>
  <c r="F245" i="9" a="1"/>
  <c r="F245" i="9" s="1"/>
  <c r="C245" i="9" a="1"/>
  <c r="B245" i="9" a="1"/>
  <c r="B245" i="9" s="1"/>
  <c r="H228" i="9" a="1"/>
  <c r="H228" i="9" s="1"/>
  <c r="I228" i="9" s="1" a="1"/>
  <c r="I228" i="9" s="1"/>
  <c r="F228" i="9" a="1"/>
  <c r="F228" i="9" s="1"/>
  <c r="G228" i="9" s="1" a="1"/>
  <c r="G228" i="9" s="1"/>
  <c r="C228" i="9" a="1"/>
  <c r="E228" i="9" s="1" a="1"/>
  <c r="E228" i="9" s="1"/>
  <c r="B228" i="9" a="1"/>
  <c r="B228" i="9" s="1"/>
  <c r="H207" i="9" a="1"/>
  <c r="H207" i="9" s="1"/>
  <c r="I207" i="9" s="1" a="1"/>
  <c r="I207" i="9" s="1"/>
  <c r="F207" i="9" a="1"/>
  <c r="F207" i="9" s="1"/>
  <c r="C207" i="9" a="1"/>
  <c r="E207" i="9" s="1" a="1"/>
  <c r="E207" i="9" s="1"/>
  <c r="B207" i="9" a="1"/>
  <c r="B207" i="9" s="1"/>
  <c r="H192" i="9" a="1"/>
  <c r="H192" i="9" s="1"/>
  <c r="F192" i="9" a="1"/>
  <c r="F192" i="9" s="1"/>
  <c r="C192" i="9" a="1"/>
  <c r="B192" i="9" a="1"/>
  <c r="B192" i="9" s="1"/>
  <c r="H177" i="9" a="1"/>
  <c r="H177" i="9" s="1"/>
  <c r="I177" i="9" s="1" a="1"/>
  <c r="I177" i="9" s="1"/>
  <c r="F177" i="9" a="1"/>
  <c r="F177" i="9" s="1"/>
  <c r="G177" i="9" s="1" a="1"/>
  <c r="G177" i="9" s="1"/>
  <c r="C177" i="9" a="1"/>
  <c r="E177" i="9" s="1" a="1"/>
  <c r="E177" i="9" s="1"/>
  <c r="B177" i="9" a="1"/>
  <c r="B177" i="9" s="1"/>
  <c r="H156" i="9" a="1"/>
  <c r="H156" i="9" s="1"/>
  <c r="I156" i="9" s="1" a="1"/>
  <c r="I156" i="9" s="1"/>
  <c r="F156" i="9" a="1"/>
  <c r="F156" i="9" s="1"/>
  <c r="C156" i="9" a="1"/>
  <c r="B156" i="9" a="1"/>
  <c r="B156" i="9" s="1"/>
  <c r="H132" i="9" a="1"/>
  <c r="H132" i="9" s="1"/>
  <c r="I132" i="9" s="1" a="1"/>
  <c r="I132" i="9" s="1"/>
  <c r="F132" i="9" a="1"/>
  <c r="F132" i="9" s="1"/>
  <c r="C132" i="9" a="1"/>
  <c r="B132" i="9" a="1"/>
  <c r="B132" i="9" s="1"/>
  <c r="H113" i="9" a="1"/>
  <c r="H113" i="9" s="1"/>
  <c r="I113" i="9" s="1" a="1"/>
  <c r="I113" i="9" s="1"/>
  <c r="F113" i="9" a="1"/>
  <c r="F113" i="9" s="1"/>
  <c r="C113" i="9" a="1"/>
  <c r="B113" i="9" a="1"/>
  <c r="B113" i="9" s="1"/>
  <c r="H96" i="9" a="1"/>
  <c r="H96" i="9" s="1"/>
  <c r="I96" i="9" s="1" a="1"/>
  <c r="I96" i="9" s="1"/>
  <c r="F96" i="9" a="1"/>
  <c r="F96" i="9" s="1"/>
  <c r="G96" i="9" s="1" a="1"/>
  <c r="G96" i="9" s="1"/>
  <c r="F74" i="9" a="1"/>
  <c r="F74" i="9" s="1"/>
  <c r="G74" i="9" s="1" a="1"/>
  <c r="G74" i="9" s="1"/>
  <c r="H74" i="9" a="1"/>
  <c r="H74" i="9" s="1"/>
  <c r="I74" i="9" s="1" a="1"/>
  <c r="I74" i="9" s="1"/>
  <c r="H57" i="9" a="1"/>
  <c r="H57" i="9" s="1"/>
  <c r="I57" i="9" s="1" a="1"/>
  <c r="I57" i="9" s="1"/>
  <c r="H37" i="9" a="1"/>
  <c r="H37" i="9" s="1"/>
  <c r="I37" i="9" s="1" a="1"/>
  <c r="I37" i="9" s="1"/>
  <c r="H25" i="9" a="1"/>
  <c r="H25" i="9" s="1"/>
  <c r="I25" i="9" s="1" a="1"/>
  <c r="I25" i="9" s="1"/>
  <c r="H6" i="9" a="1"/>
  <c r="H6" i="9" s="1"/>
  <c r="I6" i="9" s="1" a="1"/>
  <c r="I6" i="9" s="1"/>
  <c r="F57" i="9" a="1"/>
  <c r="F57" i="9" s="1"/>
  <c r="G57" i="9" s="1" a="1"/>
  <c r="G57" i="9" s="1"/>
  <c r="F37" i="9" a="1"/>
  <c r="F37" i="9" s="1"/>
  <c r="F25" i="9" a="1"/>
  <c r="F25" i="9" s="1"/>
  <c r="F6" i="9" a="1"/>
  <c r="F6" i="9" s="1"/>
  <c r="G6" i="9" s="1" a="1"/>
  <c r="G6" i="9" s="1"/>
  <c r="C96" i="9" a="1"/>
  <c r="E96" i="9" s="1" a="1"/>
  <c r="E96" i="9" s="1"/>
  <c r="C74" i="9" a="1"/>
  <c r="E74" i="9" s="1" a="1"/>
  <c r="E74" i="9" s="1"/>
  <c r="C57" i="9" a="1"/>
  <c r="E57" i="9" s="1" a="1"/>
  <c r="E57" i="9" s="1"/>
  <c r="C37" i="9" a="1"/>
  <c r="E37" i="9" s="1" a="1"/>
  <c r="E37" i="9" s="1"/>
  <c r="C25" i="9" a="1"/>
  <c r="E25" i="9" s="1" a="1"/>
  <c r="E25" i="9" s="1"/>
  <c r="C6" i="9" a="1"/>
  <c r="E6" i="9" s="1" a="1"/>
  <c r="E6" i="9" s="1"/>
  <c r="B96" i="9" a="1"/>
  <c r="B96" i="9" s="1"/>
  <c r="B74" i="9" a="1"/>
  <c r="B74" i="9" s="1"/>
  <c r="B57" i="9" a="1"/>
  <c r="B57" i="9" s="1"/>
  <c r="B37" i="9" a="1"/>
  <c r="B37" i="9" s="1"/>
  <c r="B25" i="9" a="1"/>
  <c r="B25" i="9" s="1"/>
  <c r="B6" i="9" a="1"/>
  <c r="B6" i="9" s="1"/>
  <c r="F5" i="4"/>
  <c r="D5" i="4"/>
  <c r="D347" i="9"/>
  <c r="H6" i="8" a="1"/>
  <c r="H6" i="8" s="1"/>
  <c r="F6" i="8" a="1"/>
  <c r="F6" i="8" s="1"/>
  <c r="B6" i="8" a="1"/>
  <c r="D203" i="9" l="1"/>
  <c r="E192" i="9" a="1"/>
  <c r="E192" i="9" s="1"/>
  <c r="E286" i="9" a="1"/>
  <c r="E286" i="9" s="1"/>
  <c r="G192" i="9" a="1"/>
  <c r="G192" i="9" s="1"/>
  <c r="G286" i="9" a="1"/>
  <c r="G286" i="9" s="1"/>
  <c r="G6" i="8" a="1"/>
  <c r="G6" i="8" s="1"/>
  <c r="G25" i="9" a="1"/>
  <c r="G25" i="9" s="1"/>
  <c r="E156" i="9" a="1"/>
  <c r="E156" i="9" s="1"/>
  <c r="H203" i="9"/>
  <c r="I203" i="9" s="1"/>
  <c r="I192" i="9" a="1"/>
  <c r="I192" i="9" s="1"/>
  <c r="E245" i="9" a="1"/>
  <c r="E245" i="9" s="1"/>
  <c r="H26" i="8"/>
  <c r="I6" i="8" a="1"/>
  <c r="I6" i="8" s="1"/>
  <c r="G37" i="9" a="1"/>
  <c r="G37" i="9" s="1"/>
  <c r="G156" i="9" a="1"/>
  <c r="G156" i="9" s="1"/>
  <c r="G245" i="9" a="1"/>
  <c r="G245" i="9" s="1"/>
  <c r="B6" i="8"/>
  <c r="E6" i="8" a="1"/>
  <c r="E6" i="8" s="1"/>
  <c r="D33" i="9"/>
  <c r="E113" i="9" a="1"/>
  <c r="E113" i="9" s="1"/>
  <c r="D70" i="9"/>
  <c r="G113" i="9" a="1"/>
  <c r="G113" i="9" s="1"/>
  <c r="G207" i="9" a="1"/>
  <c r="G207" i="9" s="1"/>
  <c r="G298" i="9" a="1"/>
  <c r="G298" i="9" s="1"/>
  <c r="H315" i="9"/>
  <c r="I315" i="9" s="1"/>
  <c r="I298" i="9" a="1"/>
  <c r="I298" i="9" s="1"/>
  <c r="E132" i="9" a="1"/>
  <c r="E132" i="9" s="1"/>
  <c r="H282" i="9"/>
  <c r="I282" i="9" s="1"/>
  <c r="I265" i="9" a="1"/>
  <c r="I265" i="9" s="1"/>
  <c r="G351" i="9" a="1"/>
  <c r="G351" i="9" s="1"/>
  <c r="G132" i="9" a="1"/>
  <c r="G132" i="9" s="1"/>
  <c r="C57" i="9"/>
  <c r="C74" i="9"/>
  <c r="F26" i="8"/>
  <c r="G26" i="8" s="1"/>
  <c r="C96" i="9"/>
  <c r="C298" i="9"/>
  <c r="F33" i="9"/>
  <c r="H241" i="9"/>
  <c r="I241" i="9" s="1"/>
  <c r="E315" i="9"/>
  <c r="F315" i="9"/>
  <c r="H33" i="9"/>
  <c r="I33" i="9" s="1"/>
  <c r="F128" i="9"/>
  <c r="C228" i="9"/>
  <c r="F241" i="9"/>
  <c r="H173" i="9"/>
  <c r="I173" i="9" s="1"/>
  <c r="F188" i="9"/>
  <c r="G188" i="9" s="1"/>
  <c r="H70" i="9"/>
  <c r="I70" i="9" s="1"/>
  <c r="F109" i="9"/>
  <c r="G109" i="9" s="1"/>
  <c r="C339" i="9"/>
  <c r="D282" i="9"/>
  <c r="F282" i="9"/>
  <c r="C113" i="9"/>
  <c r="F203" i="9"/>
  <c r="H128" i="9"/>
  <c r="I128" i="9" s="1"/>
  <c r="D173" i="9"/>
  <c r="E173" i="9" s="1"/>
  <c r="F70" i="9"/>
  <c r="D188" i="9"/>
  <c r="E188" i="9" s="1"/>
  <c r="H109" i="9"/>
  <c r="I109" i="9" s="1"/>
  <c r="H347" i="9"/>
  <c r="I347" i="9" s="1"/>
  <c r="C6" i="9"/>
  <c r="D360" i="9"/>
  <c r="C25" i="9"/>
  <c r="C286" i="9"/>
  <c r="C37" i="9"/>
  <c r="D224" i="9"/>
  <c r="F294" i="9"/>
  <c r="C351" i="9"/>
  <c r="H335" i="9"/>
  <c r="I335" i="9" s="1"/>
  <c r="D335" i="9"/>
  <c r="E335" i="9" s="1"/>
  <c r="C319" i="9"/>
  <c r="C265" i="9"/>
  <c r="F261" i="9"/>
  <c r="H261" i="9"/>
  <c r="I261" i="9" s="1"/>
  <c r="D261" i="9"/>
  <c r="E261" i="9" s="1"/>
  <c r="C245" i="9"/>
  <c r="F224" i="9"/>
  <c r="C207" i="9"/>
  <c r="C192" i="9"/>
  <c r="C177" i="9"/>
  <c r="C156" i="9"/>
  <c r="H152" i="9"/>
  <c r="I152" i="9" s="1"/>
  <c r="C132" i="9"/>
  <c r="F347" i="9"/>
  <c r="H294" i="9"/>
  <c r="D241" i="9"/>
  <c r="H21" i="9"/>
  <c r="I21" i="9" s="1"/>
  <c r="H53" i="9"/>
  <c r="I53" i="9" s="1"/>
  <c r="D21" i="9"/>
  <c r="F53" i="9"/>
  <c r="G53" i="9" s="1"/>
  <c r="D53" i="9"/>
  <c r="D109" i="9"/>
  <c r="F152" i="9"/>
  <c r="H188" i="9"/>
  <c r="I188" i="9" s="1"/>
  <c r="F335" i="9"/>
  <c r="F21" i="9"/>
  <c r="D92" i="9"/>
  <c r="D152" i="9"/>
  <c r="H224" i="9"/>
  <c r="I224" i="9" s="1"/>
  <c r="F92" i="9"/>
  <c r="F173" i="9"/>
  <c r="F360" i="9"/>
  <c r="D26" i="8"/>
  <c r="H92" i="9"/>
  <c r="I92" i="9" s="1"/>
  <c r="D128" i="9"/>
  <c r="E128" i="9" s="1"/>
  <c r="D294" i="9"/>
  <c r="H360" i="9"/>
  <c r="I360" i="9" s="1"/>
  <c r="E347" i="9" l="1"/>
  <c r="G70" i="9"/>
  <c r="E241" i="9"/>
  <c r="G360" i="9"/>
  <c r="E224" i="9"/>
  <c r="G335" i="9"/>
  <c r="G347" i="9"/>
  <c r="G203" i="9"/>
  <c r="G128" i="9"/>
  <c r="E109" i="9"/>
  <c r="E360" i="9"/>
  <c r="G282" i="9"/>
  <c r="G173" i="9"/>
  <c r="E53" i="9"/>
  <c r="E282" i="9"/>
  <c r="G315" i="9"/>
  <c r="E203" i="9"/>
  <c r="E152" i="9"/>
  <c r="G224" i="9"/>
  <c r="G92" i="9"/>
  <c r="E92" i="9"/>
  <c r="E70" i="9"/>
  <c r="G21" i="9"/>
  <c r="G152" i="9"/>
  <c r="G261" i="9"/>
  <c r="G241" i="9"/>
  <c r="G33" i="9"/>
  <c r="E33" i="9"/>
  <c r="E21" i="9"/>
  <c r="I294" i="9"/>
  <c r="E294" i="9"/>
  <c r="F361" i="9" a="1"/>
  <c r="F361" i="9" s="1"/>
  <c r="I26" i="8"/>
  <c r="E26" i="8"/>
  <c r="D361" i="9" a="1"/>
  <c r="D361" i="9" s="1"/>
  <c r="H361" i="9" a="1"/>
  <c r="H361" i="9" s="1"/>
  <c r="G294" i="9" l="1"/>
  <c r="G361" i="9"/>
  <c r="I361" i="9"/>
  <c r="E361" i="9"/>
  <c r="F6" i="4" l="1"/>
  <c r="D6" i="4"/>
  <c r="H5" i="4"/>
  <c r="I5" i="4" l="1"/>
  <c r="I6" i="4" s="1"/>
  <c r="E5" i="4"/>
  <c r="G5" i="4"/>
  <c r="E6" i="4"/>
  <c r="G6" i="4"/>
  <c r="H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<sst xmlns="http://schemas.openxmlformats.org/spreadsheetml/2006/main" count="941" uniqueCount="610">
  <si>
    <t>KODE</t>
  </si>
  <si>
    <t>WILAYAH</t>
  </si>
  <si>
    <t>JML</t>
  </si>
  <si>
    <t>33.04</t>
  </si>
  <si>
    <t>33.04.01</t>
  </si>
  <si>
    <t>33.04.01.2001</t>
  </si>
  <si>
    <t>33.04.01.2002</t>
  </si>
  <si>
    <t>33.04.01.2003</t>
  </si>
  <si>
    <t>33.04.01.2004</t>
  </si>
  <si>
    <t>33.04.01.2005</t>
  </si>
  <si>
    <t>33.04.01.2006</t>
  </si>
  <si>
    <t>33.04.01.2007</t>
  </si>
  <si>
    <t>33.04.01.2008</t>
  </si>
  <si>
    <t>33.04.01.2009</t>
  </si>
  <si>
    <t>33.04.01.2010</t>
  </si>
  <si>
    <t>33.04.01.2011</t>
  </si>
  <si>
    <t>33.04.01.2012</t>
  </si>
  <si>
    <t>33.04.01.2013</t>
  </si>
  <si>
    <t>33.04.01.2014</t>
  </si>
  <si>
    <t>33.04.01.2015</t>
  </si>
  <si>
    <t>33.04.02</t>
  </si>
  <si>
    <t>33.04.02.2001</t>
  </si>
  <si>
    <t>33.04.02.2002</t>
  </si>
  <si>
    <t>33.04.02.2003</t>
  </si>
  <si>
    <t>33.04.02.2004</t>
  </si>
  <si>
    <t>33.04.02.2005</t>
  </si>
  <si>
    <t>33.04.02.2006</t>
  </si>
  <si>
    <t>33.04.02.2007</t>
  </si>
  <si>
    <t>33.04.02.2008</t>
  </si>
  <si>
    <t>33.04.03</t>
  </si>
  <si>
    <t>33.04.03.2001</t>
  </si>
  <si>
    <t>33.04.03.2002</t>
  </si>
  <si>
    <t>33.04.03.2003</t>
  </si>
  <si>
    <t>33.04.03.2004</t>
  </si>
  <si>
    <t>33.04.03.2005</t>
  </si>
  <si>
    <t>33.04.03.2006</t>
  </si>
  <si>
    <t>33.04.03.2007</t>
  </si>
  <si>
    <t>33.04.03.2008</t>
  </si>
  <si>
    <t>33.04.03.2009</t>
  </si>
  <si>
    <t>33.04.03.2010</t>
  </si>
  <si>
    <t>33.04.03.2011</t>
  </si>
  <si>
    <t>33.04.03.2012</t>
  </si>
  <si>
    <t>33.04.03.2013</t>
  </si>
  <si>
    <t>33.04.03.2014</t>
  </si>
  <si>
    <t>33.04.03.2015</t>
  </si>
  <si>
    <t>33.04.03.2016</t>
  </si>
  <si>
    <t>33.04.04</t>
  </si>
  <si>
    <t>33.04.04.2001</t>
  </si>
  <si>
    <t>33.04.04.2002</t>
  </si>
  <si>
    <t>33.04.04.2003</t>
  </si>
  <si>
    <t>33.04.04.2004</t>
  </si>
  <si>
    <t>33.04.04.2005</t>
  </si>
  <si>
    <t>33.04.04.2006</t>
  </si>
  <si>
    <t>33.04.04.2007</t>
  </si>
  <si>
    <t>33.04.04.2008</t>
  </si>
  <si>
    <t>33.04.04.2009</t>
  </si>
  <si>
    <t>33.04.04.2010</t>
  </si>
  <si>
    <t>33.04.04.2011</t>
  </si>
  <si>
    <t>33.04.04.2012</t>
  </si>
  <si>
    <t>33.04.04.2013</t>
  </si>
  <si>
    <t>33.04.05</t>
  </si>
  <si>
    <t>33.04.05.2001</t>
  </si>
  <si>
    <t>33.04.05.2002</t>
  </si>
  <si>
    <t>33.04.05.2003</t>
  </si>
  <si>
    <t>33.04.05.2004</t>
  </si>
  <si>
    <t>33.04.05.2005</t>
  </si>
  <si>
    <t>33.04.05.2006</t>
  </si>
  <si>
    <t>33.04.05.2007</t>
  </si>
  <si>
    <t>33.04.05.2008</t>
  </si>
  <si>
    <t>33.04.05.2009</t>
  </si>
  <si>
    <t>33.04.05.2010</t>
  </si>
  <si>
    <t>33.04.05.2011</t>
  </si>
  <si>
    <t>33.04.05.2012</t>
  </si>
  <si>
    <t>33.04.05.2013</t>
  </si>
  <si>
    <t>33.04.05.2014</t>
  </si>
  <si>
    <t>33.04.05.2015</t>
  </si>
  <si>
    <t>33.04.05.2016</t>
  </si>
  <si>
    <t>33.04.05.2017</t>
  </si>
  <si>
    <t>33.04.05.2018</t>
  </si>
  <si>
    <t>33.04.06</t>
  </si>
  <si>
    <t>33.04.06.1001</t>
  </si>
  <si>
    <t>33.04.06.1006</t>
  </si>
  <si>
    <t>33.04.06.1007</t>
  </si>
  <si>
    <t>33.04.06.1008</t>
  </si>
  <si>
    <t>33.04.06.1009</t>
  </si>
  <si>
    <t>33.04.06.1010</t>
  </si>
  <si>
    <t>33.04.06.1011</t>
  </si>
  <si>
    <t>33.04.06.1012</t>
  </si>
  <si>
    <t>33.04.06.1013</t>
  </si>
  <si>
    <t>33.04.06.2002</t>
  </si>
  <si>
    <t>33.04.06.2003</t>
  </si>
  <si>
    <t>33.04.06.2004</t>
  </si>
  <si>
    <t>33.04.06.2005</t>
  </si>
  <si>
    <t>33.04.07</t>
  </si>
  <si>
    <t>33.04.07.1015</t>
  </si>
  <si>
    <t>33.04.07.2001</t>
  </si>
  <si>
    <t>33.04.07.2002</t>
  </si>
  <si>
    <t>33.04.07.2003</t>
  </si>
  <si>
    <t>33.04.07.2004</t>
  </si>
  <si>
    <t>33.04.07.2005</t>
  </si>
  <si>
    <t>33.04.07.2006</t>
  </si>
  <si>
    <t>33.04.07.2007</t>
  </si>
  <si>
    <t>33.04.07.2008</t>
  </si>
  <si>
    <t>33.04.07.2009</t>
  </si>
  <si>
    <t>33.04.07.2010</t>
  </si>
  <si>
    <t>33.04.07.2011</t>
  </si>
  <si>
    <t>33.04.07.2012</t>
  </si>
  <si>
    <t>33.04.07.2013</t>
  </si>
  <si>
    <t>33.04.07.2014</t>
  </si>
  <si>
    <t>33.04.08</t>
  </si>
  <si>
    <t>33.04.08.1011</t>
  </si>
  <si>
    <t>33.04.08.1012</t>
  </si>
  <si>
    <t>33.04.08.2001</t>
  </si>
  <si>
    <t>33.04.08.2002</t>
  </si>
  <si>
    <t>33.04.08.2003</t>
  </si>
  <si>
    <t>33.04.08.2004</t>
  </si>
  <si>
    <t>33.04.08.2005</t>
  </si>
  <si>
    <t>33.04.08.2006</t>
  </si>
  <si>
    <t>33.04.08.2007</t>
  </si>
  <si>
    <t>33.04.08.2008</t>
  </si>
  <si>
    <t>33.04.08.2009</t>
  </si>
  <si>
    <t>33.04.08.2010</t>
  </si>
  <si>
    <t>33.04.08.2013</t>
  </si>
  <si>
    <t>33.04.08.2014</t>
  </si>
  <si>
    <t>33.04.08.2015</t>
  </si>
  <si>
    <t>33.04.08.2016</t>
  </si>
  <si>
    <t>33.04.08.2017</t>
  </si>
  <si>
    <t>33.04.08.2018</t>
  </si>
  <si>
    <t>33.04.08.2019</t>
  </si>
  <si>
    <t>33.04.08.2020</t>
  </si>
  <si>
    <t>33.04.09</t>
  </si>
  <si>
    <t>33.04.09.2001</t>
  </si>
  <si>
    <t>33.04.09.2002</t>
  </si>
  <si>
    <t>33.04.09.2003</t>
  </si>
  <si>
    <t>33.04.09.2004</t>
  </si>
  <si>
    <t>33.04.09.2005</t>
  </si>
  <si>
    <t>33.04.09.2006</t>
  </si>
  <si>
    <t>33.04.09.2007</t>
  </si>
  <si>
    <t>33.04.09.2008</t>
  </si>
  <si>
    <t>33.04.09.2009</t>
  </si>
  <si>
    <t>33.04.09.2010</t>
  </si>
  <si>
    <t>33.04.09.2011</t>
  </si>
  <si>
    <t>33.04.09.2012</t>
  </si>
  <si>
    <t>33.04.09.2013</t>
  </si>
  <si>
    <t>33.04.09.2014</t>
  </si>
  <si>
    <t>33.04.09.2015</t>
  </si>
  <si>
    <t>33.04.09.2016</t>
  </si>
  <si>
    <t>33.04.09.2017</t>
  </si>
  <si>
    <t>33.04.10</t>
  </si>
  <si>
    <t>33.04.10.2001</t>
  </si>
  <si>
    <t>33.04.10.2002</t>
  </si>
  <si>
    <t>33.04.10.2003</t>
  </si>
  <si>
    <t>33.04.10.2004</t>
  </si>
  <si>
    <t>33.04.10.2005</t>
  </si>
  <si>
    <t>33.04.10.2006</t>
  </si>
  <si>
    <t>33.04.10.2007</t>
  </si>
  <si>
    <t>33.04.10.2008</t>
  </si>
  <si>
    <t>33.04.10.2009</t>
  </si>
  <si>
    <t>33.04.10.2010</t>
  </si>
  <si>
    <t>33.04.10.2011</t>
  </si>
  <si>
    <t>33.04.11</t>
  </si>
  <si>
    <t>33.04.11.2001</t>
  </si>
  <si>
    <t>33.04.11.2002</t>
  </si>
  <si>
    <t>33.04.11.2003</t>
  </si>
  <si>
    <t>33.04.11.2004</t>
  </si>
  <si>
    <t>33.04.11.2005</t>
  </si>
  <si>
    <t>33.04.11.2006</t>
  </si>
  <si>
    <t>33.04.11.2007</t>
  </si>
  <si>
    <t>33.04.11.2008</t>
  </si>
  <si>
    <t>33.04.11.2009</t>
  </si>
  <si>
    <t>33.04.11.2010</t>
  </si>
  <si>
    <t>33.04.11.2011</t>
  </si>
  <si>
    <t>33.04.12</t>
  </si>
  <si>
    <t>33.04.12.2001</t>
  </si>
  <si>
    <t>33.04.12.2002</t>
  </si>
  <si>
    <t>33.04.12.2003</t>
  </si>
  <si>
    <t>33.04.12.2004</t>
  </si>
  <si>
    <t>33.04.12.2005</t>
  </si>
  <si>
    <t>33.04.12.2006</t>
  </si>
  <si>
    <t>33.04.12.2007</t>
  </si>
  <si>
    <t>33.04.12.2008</t>
  </si>
  <si>
    <t>33.04.12.2009</t>
  </si>
  <si>
    <t>33.04.12.2010</t>
  </si>
  <si>
    <t>33.04.12.2011</t>
  </si>
  <si>
    <t>33.04.12.2012</t>
  </si>
  <si>
    <t>33.04.12.2013</t>
  </si>
  <si>
    <t>33.04.12.2014</t>
  </si>
  <si>
    <t>33.04.12.2015</t>
  </si>
  <si>
    <t>33.04.12.2016</t>
  </si>
  <si>
    <t>33.04.12.2017</t>
  </si>
  <si>
    <t>33.04.13</t>
  </si>
  <si>
    <t>33.04.13.2001</t>
  </si>
  <si>
    <t>33.04.13.2002</t>
  </si>
  <si>
    <t>33.04.13.2003</t>
  </si>
  <si>
    <t>33.04.13.2004</t>
  </si>
  <si>
    <t>33.04.13.2005</t>
  </si>
  <si>
    <t>33.04.13.2006</t>
  </si>
  <si>
    <t>33.04.13.2007</t>
  </si>
  <si>
    <t>33.04.13.2008</t>
  </si>
  <si>
    <t>33.04.13.2009</t>
  </si>
  <si>
    <t>33.04.13.2010</t>
  </si>
  <si>
    <t>33.04.13.2011</t>
  </si>
  <si>
    <t>33.04.13.2012</t>
  </si>
  <si>
    <t>SUSUKAN</t>
  </si>
  <si>
    <t>BERTA</t>
  </si>
  <si>
    <t>DERIK</t>
  </si>
  <si>
    <t>GUMELEM WETAN</t>
  </si>
  <si>
    <t>GUMELEM KULON</t>
  </si>
  <si>
    <t>PENARUSAN WETAN</t>
  </si>
  <si>
    <t>PENARUSAN KULON</t>
  </si>
  <si>
    <t>BRENGKOK</t>
  </si>
  <si>
    <t>PEKIKIRAN</t>
  </si>
  <si>
    <t>PIASA WETAN</t>
  </si>
  <si>
    <t>KARANGSALAM</t>
  </si>
  <si>
    <t>KEMRANGGON</t>
  </si>
  <si>
    <t>DERMASARI</t>
  </si>
  <si>
    <t>KEDAWUNG</t>
  </si>
  <si>
    <t>KARANGJATI</t>
  </si>
  <si>
    <t>PURWOREJA KLAMPOK</t>
  </si>
  <si>
    <t>SIRKANDI</t>
  </si>
  <si>
    <t>PAGAK</t>
  </si>
  <si>
    <t>KECITRAN</t>
  </si>
  <si>
    <t>PURWAREJA</t>
  </si>
  <si>
    <t>KLAMPOK</t>
  </si>
  <si>
    <t>KALILANDAK</t>
  </si>
  <si>
    <t>KALIMANDI</t>
  </si>
  <si>
    <t>KALIWINASUH</t>
  </si>
  <si>
    <t>MANDIRAJA</t>
  </si>
  <si>
    <t>JALATUNDA</t>
  </si>
  <si>
    <t>SOMAWANGI</t>
  </si>
  <si>
    <t>KALIWUNGU</t>
  </si>
  <si>
    <t>KEBANARAN</t>
  </si>
  <si>
    <t>GLEMPANG</t>
  </si>
  <si>
    <t>SALAMERTA</t>
  </si>
  <si>
    <t>PURWASABA</t>
  </si>
  <si>
    <t>BLIMBING</t>
  </si>
  <si>
    <t>PANGGISARI</t>
  </si>
  <si>
    <t>CANDIWULAN</t>
  </si>
  <si>
    <t>SIMBANG</t>
  </si>
  <si>
    <t>KERTAYASA</t>
  </si>
  <si>
    <t>BANJENGAN</t>
  </si>
  <si>
    <t>MANDIRAJA KULON</t>
  </si>
  <si>
    <t>KEBAKALAN</t>
  </si>
  <si>
    <t>MANDIRAJA WETAN</t>
  </si>
  <si>
    <t>PURWANEGARA</t>
  </si>
  <si>
    <t>KALITENGAH</t>
  </si>
  <si>
    <t>MERDEN</t>
  </si>
  <si>
    <t>KARANGANYAR</t>
  </si>
  <si>
    <t>KALIAJIR</t>
  </si>
  <si>
    <t>PETIR</t>
  </si>
  <si>
    <t>PUCUNGBEDUG</t>
  </si>
  <si>
    <t>PARAKAN</t>
  </si>
  <si>
    <t>MERTASARI</t>
  </si>
  <si>
    <t>DANARAJA</t>
  </si>
  <si>
    <t>PURWONEGORO</t>
  </si>
  <si>
    <t>KALIPELUS</t>
  </si>
  <si>
    <t>GUMIWANG</t>
  </si>
  <si>
    <t>KUTAWULUH</t>
  </si>
  <si>
    <t>BAWANG</t>
  </si>
  <si>
    <t>WANADRI</t>
  </si>
  <si>
    <t>KEBONDALEM</t>
  </si>
  <si>
    <t>MAJALENGKA</t>
  </si>
  <si>
    <t>WIRAMASTRA</t>
  </si>
  <si>
    <t>KUTAYASA</t>
  </si>
  <si>
    <t>WINONG</t>
  </si>
  <si>
    <t>DEPOK</t>
  </si>
  <si>
    <t>WATUURIP</t>
  </si>
  <si>
    <t>MASARAN</t>
  </si>
  <si>
    <t>SERANG</t>
  </si>
  <si>
    <t>MANTRIANOM</t>
  </si>
  <si>
    <t>BINORONG</t>
  </si>
  <si>
    <t>JOHO</t>
  </si>
  <si>
    <t>BANDINGAN</t>
  </si>
  <si>
    <t>BLAMBANGAN</t>
  </si>
  <si>
    <t>GEMURUH</t>
  </si>
  <si>
    <t>PUCANG</t>
  </si>
  <si>
    <t>BANJARNEGARA</t>
  </si>
  <si>
    <t>ARGASOKA</t>
  </si>
  <si>
    <t>KARANGTENGAH</t>
  </si>
  <si>
    <t>WANGON</t>
  </si>
  <si>
    <t>SEMAMPIR</t>
  </si>
  <si>
    <t>SOKANANDI</t>
  </si>
  <si>
    <t>PARAKANCANGGAH</t>
  </si>
  <si>
    <t>SEMARANG</t>
  </si>
  <si>
    <t>KRANDEGAN</t>
  </si>
  <si>
    <t>KUTABANJARNEGARA</t>
  </si>
  <si>
    <t>AMPELSARI</t>
  </si>
  <si>
    <t>TLAGAWERA</t>
  </si>
  <si>
    <t>CENDANA</t>
  </si>
  <si>
    <t>SOKAYASA</t>
  </si>
  <si>
    <t>SIGALUH</t>
  </si>
  <si>
    <t>KALIBENDA</t>
  </si>
  <si>
    <t>PRINGAMBA</t>
  </si>
  <si>
    <t>SAWAL</t>
  </si>
  <si>
    <t>PANAWAREN</t>
  </si>
  <si>
    <t>TUNGGARA</t>
  </si>
  <si>
    <t>RANDEGAN</t>
  </si>
  <si>
    <t>BOJANEGARA</t>
  </si>
  <si>
    <t>PRIGI</t>
  </si>
  <si>
    <t>GEMBONGAN</t>
  </si>
  <si>
    <t>KEMIRI</t>
  </si>
  <si>
    <t>KARANGMANGU</t>
  </si>
  <si>
    <t>WANACIPTA</t>
  </si>
  <si>
    <t>SINGAMERTA</t>
  </si>
  <si>
    <t>MADUKARA</t>
  </si>
  <si>
    <t>KENTENG</t>
  </si>
  <si>
    <t>REJASA</t>
  </si>
  <si>
    <t>LIMBANGAN</t>
  </si>
  <si>
    <t>PENAWANGAN</t>
  </si>
  <si>
    <t>TALUNAMBA</t>
  </si>
  <si>
    <t>PEKAUMAN</t>
  </si>
  <si>
    <t>PAGELAK</t>
  </si>
  <si>
    <t>DAWUHAN</t>
  </si>
  <si>
    <t>BANTARWARU</t>
  </si>
  <si>
    <t>SERED</t>
  </si>
  <si>
    <t>PETAMBAKAN</t>
  </si>
  <si>
    <t>RAKITAN</t>
  </si>
  <si>
    <t>BLITAR</t>
  </si>
  <si>
    <t>KALIURIP</t>
  </si>
  <si>
    <t>GUNUNGGIANA</t>
  </si>
  <si>
    <t>CLAPAR</t>
  </si>
  <si>
    <t>PAKELEN</t>
  </si>
  <si>
    <t>BANJARMANGU</t>
  </si>
  <si>
    <t>JENGGAWUR</t>
  </si>
  <si>
    <t>BANJARKULON</t>
  </si>
  <si>
    <t>REJASARI</t>
  </si>
  <si>
    <t>KESENET</t>
  </si>
  <si>
    <t>KALILUNJAR</t>
  </si>
  <si>
    <t>SIJERUK</t>
  </si>
  <si>
    <t>KENDAGA</t>
  </si>
  <si>
    <t>GRIPIT</t>
  </si>
  <si>
    <t>PEKANDANGAN</t>
  </si>
  <si>
    <t>SIGEBLOG</t>
  </si>
  <si>
    <t>PASEH</t>
  </si>
  <si>
    <t>SIPEDANG</t>
  </si>
  <si>
    <t>SIJENGGUNG</t>
  </si>
  <si>
    <t>BEJI</t>
  </si>
  <si>
    <t>PRENDENGAN</t>
  </si>
  <si>
    <t>MAJATENGAH</t>
  </si>
  <si>
    <t>WANADADI</t>
  </si>
  <si>
    <t>KASILIB</t>
  </si>
  <si>
    <t>TAPEN</t>
  </si>
  <si>
    <t>KARANGJAMBE</t>
  </si>
  <si>
    <t>WANAKARSA</t>
  </si>
  <si>
    <t>LEMAHJAYA</t>
  </si>
  <si>
    <t>KARANGKEMIRI</t>
  </si>
  <si>
    <t>KANDANGWANGI</t>
  </si>
  <si>
    <t>MEDAYU</t>
  </si>
  <si>
    <t>LINGGASARI</t>
  </si>
  <si>
    <t>GUMINGSIR</t>
  </si>
  <si>
    <t>RAKIT</t>
  </si>
  <si>
    <t>PINGIT</t>
  </si>
  <si>
    <t>SITUWANGI</t>
  </si>
  <si>
    <t>GELANG</t>
  </si>
  <si>
    <t>ADIPASIR</t>
  </si>
  <si>
    <t>KINCANG</t>
  </si>
  <si>
    <t>BADAMITA</t>
  </si>
  <si>
    <t>TANJUNGANOM</t>
  </si>
  <si>
    <t>LUWUNG</t>
  </si>
  <si>
    <t>LENGKONG</t>
  </si>
  <si>
    <t>PUNGGELAN</t>
  </si>
  <si>
    <t>SAMBONG</t>
  </si>
  <si>
    <t>DANAKERTA</t>
  </si>
  <si>
    <t>KLAPA</t>
  </si>
  <si>
    <t>KECEPIT</t>
  </si>
  <si>
    <t>KARANGSARI</t>
  </si>
  <si>
    <t>TRIBUANA</t>
  </si>
  <si>
    <t>SAWANGAN</t>
  </si>
  <si>
    <t>SIDARATA</t>
  </si>
  <si>
    <t>BADAKARYA</t>
  </si>
  <si>
    <t>JEMBANGAN</t>
  </si>
  <si>
    <t>PURWASANA</t>
  </si>
  <si>
    <t>PETUGURAN</t>
  </si>
  <si>
    <t>BONDOLHARJO</t>
  </si>
  <si>
    <t>TANJUNGTIRTA</t>
  </si>
  <si>
    <t>TLAGA</t>
  </si>
  <si>
    <t>MLAYA</t>
  </si>
  <si>
    <t>KARANGKOBAR</t>
  </si>
  <si>
    <t>PAWEDEN</t>
  </si>
  <si>
    <t>GUMELAR</t>
  </si>
  <si>
    <t>PURWODADI</t>
  </si>
  <si>
    <t>SAMPANG</t>
  </si>
  <si>
    <t>SLATRI</t>
  </si>
  <si>
    <t>PAGERPELAH</t>
  </si>
  <si>
    <t>PASURUHAN</t>
  </si>
  <si>
    <t>KARANGGONDANG</t>
  </si>
  <si>
    <t>JLEGONG</t>
  </si>
  <si>
    <t>AMBAL</t>
  </si>
  <si>
    <t>BINANGUN</t>
  </si>
  <si>
    <t>33.04.13.2013</t>
  </si>
  <si>
    <t>33.04.14</t>
  </si>
  <si>
    <t>33.04.14.2001</t>
  </si>
  <si>
    <t>33.04.14.2002</t>
  </si>
  <si>
    <t>33.04.14.2003</t>
  </si>
  <si>
    <t>33.04.14.2004</t>
  </si>
  <si>
    <t>33.04.14.2005</t>
  </si>
  <si>
    <t>33.04.14.2006</t>
  </si>
  <si>
    <t>33.04.14.2007</t>
  </si>
  <si>
    <t>33.04.14.2008</t>
  </si>
  <si>
    <t>33.04.14.2009</t>
  </si>
  <si>
    <t>33.04.14.2010</t>
  </si>
  <si>
    <t>33.04.14.2011</t>
  </si>
  <si>
    <t>33.04.14.2012</t>
  </si>
  <si>
    <t>33.04.14.2013</t>
  </si>
  <si>
    <t>33.04.14.2014</t>
  </si>
  <si>
    <t>33.04.14.2015</t>
  </si>
  <si>
    <t>33.04.14.2016</t>
  </si>
  <si>
    <t>33.04.15</t>
  </si>
  <si>
    <t>33.04.15.2001</t>
  </si>
  <si>
    <t>33.04.15.2002</t>
  </si>
  <si>
    <t>33.04.15.2003</t>
  </si>
  <si>
    <t>33.04.15.2004</t>
  </si>
  <si>
    <t>33.04.15.2005</t>
  </si>
  <si>
    <t>33.04.15.2006</t>
  </si>
  <si>
    <t>33.04.15.2007</t>
  </si>
  <si>
    <t>33.04.15.2008</t>
  </si>
  <si>
    <t>33.04.15.2009</t>
  </si>
  <si>
    <t>33.04.15.2010</t>
  </si>
  <si>
    <t>33.04.15.2011</t>
  </si>
  <si>
    <t>33.04.15.2012</t>
  </si>
  <si>
    <t>33.04.15.2013</t>
  </si>
  <si>
    <t>33.04.15.2014</t>
  </si>
  <si>
    <t>33.04.15.2015</t>
  </si>
  <si>
    <t>33.04.15.2016</t>
  </si>
  <si>
    <t>33.04.15.2017</t>
  </si>
  <si>
    <t>33.04.16</t>
  </si>
  <si>
    <t>33.04.16.2001</t>
  </si>
  <si>
    <t>33.04.16.2002</t>
  </si>
  <si>
    <t>33.04.16.2003</t>
  </si>
  <si>
    <t>33.04.16.2004</t>
  </si>
  <si>
    <t>33.04.16.2005</t>
  </si>
  <si>
    <t>33.04.16.2006</t>
  </si>
  <si>
    <t>33.04.16.2007</t>
  </si>
  <si>
    <t>33.04.16.2008</t>
  </si>
  <si>
    <t>33.04.17</t>
  </si>
  <si>
    <t>33.04.17.2001</t>
  </si>
  <si>
    <t>33.04.17.2002</t>
  </si>
  <si>
    <t>33.04.17.2003</t>
  </si>
  <si>
    <t>33.04.17.2004</t>
  </si>
  <si>
    <t>33.04.17.2005</t>
  </si>
  <si>
    <t>33.04.17.2006</t>
  </si>
  <si>
    <t>33.04.17.2007</t>
  </si>
  <si>
    <t>33.04.17.2008</t>
  </si>
  <si>
    <t>33.04.17.2009</t>
  </si>
  <si>
    <t>33.04.17.2010</t>
  </si>
  <si>
    <t>33.04.17.2011</t>
  </si>
  <si>
    <t>33.04.17.2012</t>
  </si>
  <si>
    <t>33.04.17.2013</t>
  </si>
  <si>
    <t>33.04.17.2014</t>
  </si>
  <si>
    <t>33.04.17.2015</t>
  </si>
  <si>
    <t>33.04.17.2016</t>
  </si>
  <si>
    <t>33.04.17.2017</t>
  </si>
  <si>
    <t>33.04.18</t>
  </si>
  <si>
    <t>33.04.18.2001</t>
  </si>
  <si>
    <t>33.04.18.2002</t>
  </si>
  <si>
    <t>33.04.18.2003</t>
  </si>
  <si>
    <t>33.04.18.2004</t>
  </si>
  <si>
    <t>33.04.18.2005</t>
  </si>
  <si>
    <t>33.04.18.2006</t>
  </si>
  <si>
    <t>33.04.18.2007</t>
  </si>
  <si>
    <t>33.04.18.2008</t>
  </si>
  <si>
    <t>33.04.18.2009</t>
  </si>
  <si>
    <t>33.04.18.2010</t>
  </si>
  <si>
    <t>33.04.18.2011</t>
  </si>
  <si>
    <t>33.04.18.2012</t>
  </si>
  <si>
    <t>33.04.18.2013</t>
  </si>
  <si>
    <t>33.04.18.2014</t>
  </si>
  <si>
    <t>33.04.18.2015</t>
  </si>
  <si>
    <t>33.04.18.2016</t>
  </si>
  <si>
    <t>33.04.19</t>
  </si>
  <si>
    <t>33.04.19.2001</t>
  </si>
  <si>
    <t>33.04.19.2002</t>
  </si>
  <si>
    <t>33.04.19.2003</t>
  </si>
  <si>
    <t>33.04.19.2004</t>
  </si>
  <si>
    <t>33.04.19.2005</t>
  </si>
  <si>
    <t>33.04.19.2006</t>
  </si>
  <si>
    <t>33.04.19.2007</t>
  </si>
  <si>
    <t>33.04.19.2008</t>
  </si>
  <si>
    <t>33.04.20</t>
  </si>
  <si>
    <t>33.04.20.2001</t>
  </si>
  <si>
    <t>33.04.20.2002</t>
  </si>
  <si>
    <t>33.04.20.2003</t>
  </si>
  <si>
    <t>33.04.20.2004</t>
  </si>
  <si>
    <t>33.04.20.2005</t>
  </si>
  <si>
    <t>33.04.20.2006</t>
  </si>
  <si>
    <t>33.04.20.2007</t>
  </si>
  <si>
    <t>33.04.20.2008</t>
  </si>
  <si>
    <t>33.04.20.2009</t>
  </si>
  <si>
    <t>LEKSANA</t>
  </si>
  <si>
    <t>PAGENTAN</t>
  </si>
  <si>
    <t>LARANGAN</t>
  </si>
  <si>
    <t>KARANGNANGKA</t>
  </si>
  <si>
    <t>ARIBAYA</t>
  </si>
  <si>
    <t>NAGASARI</t>
  </si>
  <si>
    <t>SOKARAJA</t>
  </si>
  <si>
    <t>KAYUARES</t>
  </si>
  <si>
    <t>METAWANA</t>
  </si>
  <si>
    <t>KALITLAGA</t>
  </si>
  <si>
    <t>KAREKAN</t>
  </si>
  <si>
    <t>PLUMBUNGAN</t>
  </si>
  <si>
    <t>KASMARAN</t>
  </si>
  <si>
    <t>MAJASARI</t>
  </si>
  <si>
    <t>BABADAN</t>
  </si>
  <si>
    <t>TEGALJERUK</t>
  </si>
  <si>
    <t>PEJAWARAN</t>
  </si>
  <si>
    <t>SARWODADI</t>
  </si>
  <si>
    <t>GROGOL</t>
  </si>
  <si>
    <t>GIRITIRTA</t>
  </si>
  <si>
    <t>BITING</t>
  </si>
  <si>
    <t>TLAHAB</t>
  </si>
  <si>
    <t>DARMAYASA</t>
  </si>
  <si>
    <t>PENUSUPAN</t>
  </si>
  <si>
    <t>RATAMBA</t>
  </si>
  <si>
    <t>SIDENGOK</t>
  </si>
  <si>
    <t>PEGUNDUNGAN</t>
  </si>
  <si>
    <t>SEMANGKUNG</t>
  </si>
  <si>
    <t>CONDONGCAMPUR</t>
  </si>
  <si>
    <t>GEMBOL</t>
  </si>
  <si>
    <t>BATUR</t>
  </si>
  <si>
    <t>SUMBEREJO</t>
  </si>
  <si>
    <t>PASURENAN</t>
  </si>
  <si>
    <t>PEKASIRAN</t>
  </si>
  <si>
    <t>KEPAKISAN</t>
  </si>
  <si>
    <t>BAKAL</t>
  </si>
  <si>
    <t>DIENG KULON</t>
  </si>
  <si>
    <t>WANAYASA</t>
  </si>
  <si>
    <t>SUWIDAK</t>
  </si>
  <si>
    <t>BANTAR</t>
  </si>
  <si>
    <t>PANDANSARI</t>
  </si>
  <si>
    <t>PAGERGUNUNG</t>
  </si>
  <si>
    <t>KUBANG</t>
  </si>
  <si>
    <t>PESANTREN</t>
  </si>
  <si>
    <t>BALUN</t>
  </si>
  <si>
    <t>TEMPURAN</t>
  </si>
  <si>
    <t>WANARAJA</t>
  </si>
  <si>
    <t>JATILAWANG</t>
  </si>
  <si>
    <t>LEGOKSAYEM</t>
  </si>
  <si>
    <t>KASIMPAR</t>
  </si>
  <si>
    <t>PENANGGUNGAN</t>
  </si>
  <si>
    <t>KALIBENING</t>
  </si>
  <si>
    <t>ASINAN</t>
  </si>
  <si>
    <t>SEMBAWA</t>
  </si>
  <si>
    <t>KALIBOMBONG</t>
  </si>
  <si>
    <t>KALISAT KIDUL</t>
  </si>
  <si>
    <t>SIRUKEM</t>
  </si>
  <si>
    <t>KERTOSARI</t>
  </si>
  <si>
    <t>SIDAKANGEN</t>
  </si>
  <si>
    <t>SIKUMPUL</t>
  </si>
  <si>
    <t>GUNUNGLANGIT</t>
  </si>
  <si>
    <t>BEDANA</t>
  </si>
  <si>
    <t>SIRUKUN</t>
  </si>
  <si>
    <t>PLORENGAN</t>
  </si>
  <si>
    <t>KASINOMAN</t>
  </si>
  <si>
    <t>PANDANARUM</t>
  </si>
  <si>
    <t>SINDUAJI</t>
  </si>
  <si>
    <t>PASEGERAN</t>
  </si>
  <si>
    <t>PINGIT LOR</t>
  </si>
  <si>
    <t>LAWEN</t>
  </si>
  <si>
    <t>SIRONGGE</t>
  </si>
  <si>
    <t>PAGEDONGAN</t>
  </si>
  <si>
    <t>GUNUNGJATI</t>
  </si>
  <si>
    <t>TWELAGIRI</t>
  </si>
  <si>
    <t>KEBUTUHDUWUR</t>
  </si>
  <si>
    <t>KEBUTUHJURANG</t>
  </si>
  <si>
    <t>PESANGKALAN</t>
  </si>
  <si>
    <t>DUREN</t>
  </si>
  <si>
    <t>LEBAKWANGI</t>
  </si>
  <si>
    <t>GENTANSARI</t>
  </si>
  <si>
    <t>Agregat Penduduk per Kabupaten/Kota</t>
  </si>
  <si>
    <t/>
  </si>
  <si>
    <t>No</t>
  </si>
  <si>
    <t>Kabupaten/Kota</t>
  </si>
  <si>
    <t>Pria</t>
  </si>
  <si>
    <t>Wanita</t>
  </si>
  <si>
    <t>Jumlah</t>
  </si>
  <si>
    <t>Kode</t>
  </si>
  <si>
    <t>Nama</t>
  </si>
  <si>
    <t>%</t>
  </si>
  <si>
    <t>Kab./Kota</t>
  </si>
  <si>
    <t>Jumlah Total</t>
  </si>
  <si>
    <t>Agregat Penduduk per Kecamatan</t>
  </si>
  <si>
    <t>Kabupaten/Kota : 33.04 BANJARNEGARA</t>
  </si>
  <si>
    <t>Kecamatan</t>
  </si>
  <si>
    <t>Agregat Penduduk per Desa/Kelurahan</t>
  </si>
  <si>
    <t>Kecamatan : 33.04.01 SUSUKAN</t>
  </si>
  <si>
    <t>Desa/Kelurahan</t>
  </si>
  <si>
    <t>Desa/Kel.</t>
  </si>
  <si>
    <t>Kecamatan : 33.04.02 PURWAREJA KLAMPOK</t>
  </si>
  <si>
    <t>Kecamatan : 33.04.03 MANDIRAJA</t>
  </si>
  <si>
    <t>Kecamatan : 33.04.04 PURWANEGARA</t>
  </si>
  <si>
    <t>Kecamatan : 33.04.05 BAWANG</t>
  </si>
  <si>
    <t>Kecamatan : 33.04.06 BANJARNEGARA</t>
  </si>
  <si>
    <t>Kecamatan : 33.04.07 SIGALUH</t>
  </si>
  <si>
    <t>Kecamatan : 33.04.08 MADUKARA</t>
  </si>
  <si>
    <t>Kecamatan : 33.04.09 BANJARMANGU</t>
  </si>
  <si>
    <t>Kecamatan : 33.04.10 WANADADI</t>
  </si>
  <si>
    <t>Kecamatan : 33.04.11 RAKIT</t>
  </si>
  <si>
    <t>Kecamatan : 33.04.12 PUNGGELAN</t>
  </si>
  <si>
    <t>Kecamatan : 33.04.13 KARANGKOBAR</t>
  </si>
  <si>
    <t>Kecamatan : 33.04.14 PAGENTAN</t>
  </si>
  <si>
    <t>Kecamatan : 33.04.15 PEJAWARAN</t>
  </si>
  <si>
    <t>Kecamatan : 33.04.16 BATUR</t>
  </si>
  <si>
    <t>Kecamatan : 33.04.17 WANAYASA</t>
  </si>
  <si>
    <t>Kecamatan : 33.04.18 KALIBENING</t>
  </si>
  <si>
    <t>Kecamatan : 33.04.19 PANDANARUM</t>
  </si>
  <si>
    <t>Kecamatan : 33.04.20 PAGEDONGAN</t>
  </si>
  <si>
    <t>IDEM</t>
  </si>
  <si>
    <t>`</t>
  </si>
  <si>
    <t>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</si>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</sst>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3A7FD"/>
        <bgColor indexed="64"/>
      </patternFill>
    </fill>
    <fill>
      <patternFill patternType="solid">
        <fgColor rgb="FFFFDA46"/>
        <bgColor indexed="64"/>
      </patternFill>
    </fill>
    <fill>
      <patternFill patternType="solid">
        <fgColor rgb="FFBAD3FE"/>
        <bgColor indexed="64"/>
      </patternFill>
    </fill>
    <fill>
      <patternFill patternType="solid">
        <fgColor rgb="FF808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</cellStyleXfs>
  <cellXfs count="87">
    <xf numFmtId="0" fontId="0" fillId="0" borderId="0" xfId="0"/>
    <xf numFmtId="3" fontId="0" fillId="0" borderId="1" xfId="0" applyNumberFormat="1" applyBorder="1"/>
    <xf numFmtId="3" fontId="0" fillId="0" borderId="2" xfId="0" applyNumberFormat="1" applyBorder="1"/>
    <xf numFmtId="0" fontId="0" fillId="4" borderId="8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10" fontId="0" fillId="5" borderId="8" xfId="0" applyNumberFormat="1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10" fontId="0" fillId="6" borderId="8" xfId="0" applyNumberForma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right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left" vertical="center" wrapText="1"/>
    </xf>
    <xf numFmtId="3" fontId="0" fillId="7" borderId="8" xfId="0" applyNumberFormat="1" applyFill="1" applyBorder="1" applyAlignment="1">
      <alignment horizontal="right" vertical="center" wrapText="1"/>
    </xf>
    <xf numFmtId="3" fontId="4" fillId="5" borderId="8" xfId="0" applyNumberFormat="1" applyFont="1" applyFill="1" applyBorder="1" applyAlignment="1">
      <alignment horizontal="right" vertical="center" wrapText="1"/>
    </xf>
    <xf numFmtId="3" fontId="4" fillId="6" borderId="8" xfId="0" applyNumberFormat="1" applyFont="1" applyFill="1" applyBorder="1" applyAlignment="1">
      <alignment horizontal="right" vertical="center" wrapText="1"/>
    </xf>
    <xf numFmtId="10" fontId="0" fillId="0" borderId="0" xfId="0" applyNumberFormat="1"/>
    <xf numFmtId="0" fontId="5" fillId="0" borderId="0" xfId="1"/>
    <xf numFmtId="0" fontId="2" fillId="0" borderId="0" xfId="2"/>
    <xf numFmtId="0" fontId="2" fillId="0" borderId="0" xfId="2" applyAlignment="1">
      <alignment horizontal="center"/>
    </xf>
    <xf numFmtId="0" fontId="8" fillId="4" borderId="8" xfId="2" applyFont="1" applyFill="1" applyBorder="1" applyAlignment="1">
      <alignment horizontal="center" vertical="center" wrapText="1"/>
    </xf>
    <xf numFmtId="0" fontId="8" fillId="5" borderId="8" xfId="2" applyFont="1" applyFill="1" applyBorder="1" applyAlignment="1">
      <alignment horizontal="center" vertical="center" wrapText="1"/>
    </xf>
    <xf numFmtId="0" fontId="8" fillId="6" borderId="8" xfId="2" applyFont="1" applyFill="1" applyBorder="1" applyAlignment="1">
      <alignment horizontal="center" vertical="center" wrapText="1"/>
    </xf>
    <xf numFmtId="0" fontId="8" fillId="2" borderId="8" xfId="2" applyFont="1" applyFill="1" applyBorder="1" applyAlignment="1">
      <alignment horizontal="center" vertical="center" wrapText="1"/>
    </xf>
    <xf numFmtId="3" fontId="8" fillId="0" borderId="8" xfId="2" applyNumberFormat="1" applyFont="1" applyBorder="1" applyAlignment="1">
      <alignment horizontal="right" vertical="center"/>
    </xf>
    <xf numFmtId="0" fontId="8" fillId="2" borderId="8" xfId="2" applyFont="1" applyFill="1" applyBorder="1" applyAlignment="1">
      <alignment vertical="center" wrapText="1"/>
    </xf>
    <xf numFmtId="2" fontId="8" fillId="2" borderId="8" xfId="3" applyNumberFormat="1" applyFont="1" applyFill="1" applyBorder="1" applyAlignment="1">
      <alignment horizontal="right" vertical="center" wrapText="1"/>
    </xf>
    <xf numFmtId="2" fontId="8" fillId="2" borderId="8" xfId="2" applyNumberFormat="1" applyFont="1" applyFill="1" applyBorder="1" applyAlignment="1">
      <alignment horizontal="right" vertical="center" wrapText="1"/>
    </xf>
    <xf numFmtId="3" fontId="8" fillId="7" borderId="8" xfId="2" applyNumberFormat="1" applyFont="1" applyFill="1" applyBorder="1" applyAlignment="1">
      <alignment horizontal="right" vertical="center"/>
    </xf>
    <xf numFmtId="10" fontId="2" fillId="0" borderId="0" xfId="2" applyNumberFormat="1"/>
    <xf numFmtId="3" fontId="7" fillId="5" borderId="8" xfId="2" applyNumberFormat="1" applyFont="1" applyFill="1" applyBorder="1" applyAlignment="1">
      <alignment horizontal="right" vertical="center" wrapText="1"/>
    </xf>
    <xf numFmtId="2" fontId="7" fillId="7" borderId="8" xfId="2" applyNumberFormat="1" applyFont="1" applyFill="1" applyBorder="1" applyAlignment="1">
      <alignment horizontal="right" vertical="center" wrapText="1"/>
    </xf>
    <xf numFmtId="3" fontId="7" fillId="6" borderId="8" xfId="2" applyNumberFormat="1" applyFont="1" applyFill="1" applyBorder="1" applyAlignment="1">
      <alignment horizontal="right" vertical="center" wrapText="1"/>
    </xf>
    <xf numFmtId="1" fontId="7" fillId="7" borderId="8" xfId="2" applyNumberFormat="1" applyFont="1" applyFill="1" applyBorder="1" applyAlignment="1">
      <alignment horizontal="right" vertical="center" wrapText="1"/>
    </xf>
    <xf numFmtId="0" fontId="8" fillId="4" borderId="8" xfId="2" applyFont="1" applyFill="1" applyBorder="1" applyAlignment="1">
      <alignment horizontal="center" vertical="center"/>
    </xf>
    <xf numFmtId="0" fontId="8" fillId="5" borderId="8" xfId="2" applyFont="1" applyFill="1" applyBorder="1" applyAlignment="1">
      <alignment horizontal="center" vertical="center"/>
    </xf>
    <xf numFmtId="0" fontId="8" fillId="6" borderId="8" xfId="2" applyFont="1" applyFill="1" applyBorder="1" applyAlignment="1">
      <alignment horizontal="center" vertical="center"/>
    </xf>
    <xf numFmtId="0" fontId="8" fillId="2" borderId="8" xfId="2" applyFont="1" applyFill="1" applyBorder="1" applyAlignment="1">
      <alignment horizontal="center" vertical="center"/>
    </xf>
    <xf numFmtId="0" fontId="8" fillId="2" borderId="8" xfId="2" applyFont="1" applyFill="1" applyBorder="1" applyAlignment="1">
      <alignment vertical="center"/>
    </xf>
    <xf numFmtId="0" fontId="9" fillId="2" borderId="8" xfId="2" applyFont="1" applyFill="1" applyBorder="1" applyAlignment="1">
      <alignment vertical="center"/>
    </xf>
    <xf numFmtId="0" fontId="8" fillId="0" borderId="8" xfId="2" applyFont="1" applyBorder="1" applyAlignment="1">
      <alignment horizontal="right" vertical="center"/>
    </xf>
    <xf numFmtId="3" fontId="7" fillId="7" borderId="8" xfId="2" applyNumberFormat="1" applyFont="1" applyFill="1" applyBorder="1" applyAlignment="1">
      <alignment horizontal="right" vertical="center"/>
    </xf>
    <xf numFmtId="2" fontId="7" fillId="8" borderId="8" xfId="2" applyNumberFormat="1" applyFont="1" applyFill="1" applyBorder="1" applyAlignment="1">
      <alignment horizontal="right" vertical="center"/>
    </xf>
    <xf numFmtId="1" fontId="7" fillId="8" borderId="8" xfId="2" applyNumberFormat="1" applyFont="1" applyFill="1" applyBorder="1" applyAlignment="1">
      <alignment horizontal="right" vertical="center"/>
    </xf>
    <xf numFmtId="0" fontId="2" fillId="0" borderId="0" xfId="2" applyAlignment="1">
      <alignment vertical="center"/>
    </xf>
    <xf numFmtId="3" fontId="8" fillId="0" borderId="8" xfId="2" applyNumberFormat="1" applyFont="1" applyBorder="1" applyAlignment="1">
      <alignment vertical="center"/>
    </xf>
    <xf numFmtId="0" fontId="8" fillId="0" borderId="8" xfId="2" applyFont="1" applyBorder="1" applyAlignment="1">
      <alignment vertical="center"/>
    </xf>
    <xf numFmtId="0" fontId="10" fillId="2" borderId="8" xfId="2" applyFont="1" applyFill="1" applyBorder="1" applyAlignment="1">
      <alignment vertical="center"/>
    </xf>
    <xf numFmtId="2" fontId="8" fillId="2" borderId="8" xfId="2" applyNumberFormat="1" applyFont="1" applyFill="1" applyBorder="1" applyAlignment="1">
      <alignment horizontal="right" vertical="center"/>
    </xf>
    <xf numFmtId="3" fontId="7" fillId="5" borderId="8" xfId="2" applyNumberFormat="1" applyFont="1" applyFill="1" applyBorder="1" applyAlignment="1">
      <alignment horizontal="right" vertical="center"/>
    </xf>
    <xf numFmtId="3" fontId="7" fillId="6" borderId="8" xfId="2" applyNumberFormat="1" applyFont="1" applyFill="1" applyBorder="1" applyAlignment="1">
      <alignment horizontal="right" vertical="center"/>
    </xf>
    <xf numFmtId="2" fontId="0" fillId="2" borderId="8" xfId="0" applyNumberFormat="1" applyFill="1" applyBorder="1" applyAlignment="1">
      <alignment horizontal="right" vertical="center" wrapText="1"/>
    </xf>
    <xf numFmtId="2" fontId="4" fillId="8" borderId="8" xfId="0" applyNumberFormat="1" applyFont="1" applyFill="1" applyBorder="1" applyAlignment="1">
      <alignment horizontal="right" vertical="center" wrapText="1"/>
    </xf>
    <xf numFmtId="1" fontId="0" fillId="2" borderId="8" xfId="0" applyNumberFormat="1" applyFill="1" applyBorder="1" applyAlignment="1">
      <alignment horizontal="right" vertical="center" wrapText="1"/>
    </xf>
    <xf numFmtId="1" fontId="4" fillId="8" borderId="8" xfId="0" applyNumberFormat="1" applyFont="1" applyFill="1" applyBorder="1" applyAlignment="1">
      <alignment horizontal="right" vertical="center" wrapText="1"/>
    </xf>
    <xf numFmtId="0" fontId="1" fillId="0" borderId="0" xfId="2" applyFont="1"/>
    <xf numFmtId="1" fontId="8" fillId="2" borderId="8" xfId="2" applyNumberFormat="1" applyFont="1" applyFill="1" applyBorder="1" applyAlignment="1">
      <alignment horizontal="right" vertical="center" wrapText="1"/>
    </xf>
    <xf numFmtId="1" fontId="8" fillId="2" borderId="8" xfId="3" applyNumberFormat="1" applyFont="1" applyFill="1" applyBorder="1" applyAlignment="1">
      <alignment horizontal="right" vertical="center" wrapText="1"/>
    </xf>
    <xf numFmtId="1" fontId="8" fillId="2" borderId="8" xfId="2" applyNumberFormat="1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4" fillId="4" borderId="5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top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7" fillId="4" borderId="8" xfId="2" applyFont="1" applyFill="1" applyBorder="1" applyAlignment="1">
      <alignment horizontal="right" vertical="center" wrapText="1"/>
    </xf>
    <xf numFmtId="0" fontId="6" fillId="0" borderId="0" xfId="2" applyFont="1" applyAlignment="1">
      <alignment horizontal="center"/>
    </xf>
    <xf numFmtId="0" fontId="7" fillId="3" borderId="8" xfId="2" applyFont="1" applyFill="1" applyBorder="1" applyAlignment="1">
      <alignment vertical="center" wrapText="1"/>
    </xf>
    <xf numFmtId="0" fontId="8" fillId="4" borderId="8" xfId="2" applyFont="1" applyFill="1" applyBorder="1" applyAlignment="1">
      <alignment horizontal="center" vertical="center" wrapText="1"/>
    </xf>
    <xf numFmtId="0" fontId="8" fillId="5" borderId="8" xfId="2" applyFont="1" applyFill="1" applyBorder="1" applyAlignment="1">
      <alignment horizontal="center" vertical="center" wrapText="1"/>
    </xf>
    <xf numFmtId="0" fontId="8" fillId="6" borderId="8" xfId="2" applyFont="1" applyFill="1" applyBorder="1" applyAlignment="1">
      <alignment horizontal="center" vertical="center" wrapText="1"/>
    </xf>
    <xf numFmtId="0" fontId="8" fillId="4" borderId="8" xfId="2" applyFont="1" applyFill="1" applyBorder="1" applyAlignment="1">
      <alignment horizontal="right" vertical="center"/>
    </xf>
    <xf numFmtId="0" fontId="7" fillId="4" borderId="8" xfId="2" applyFont="1" applyFill="1" applyBorder="1" applyAlignment="1">
      <alignment horizontal="right" vertical="center"/>
    </xf>
    <xf numFmtId="0" fontId="7" fillId="3" borderId="3" xfId="2" applyFont="1" applyFill="1" applyBorder="1" applyAlignment="1">
      <alignment vertical="center"/>
    </xf>
    <xf numFmtId="0" fontId="7" fillId="3" borderId="4" xfId="2" applyFont="1" applyFill="1" applyBorder="1" applyAlignment="1">
      <alignment vertical="center"/>
    </xf>
    <xf numFmtId="0" fontId="7" fillId="3" borderId="5" xfId="2" applyFont="1" applyFill="1" applyBorder="1" applyAlignment="1">
      <alignment vertical="center"/>
    </xf>
    <xf numFmtId="0" fontId="8" fillId="4" borderId="8" xfId="2" applyFont="1" applyFill="1" applyBorder="1" applyAlignment="1">
      <alignment horizontal="center" vertical="center"/>
    </xf>
    <xf numFmtId="0" fontId="8" fillId="5" borderId="8" xfId="2" applyFont="1" applyFill="1" applyBorder="1" applyAlignment="1">
      <alignment horizontal="center" vertical="center"/>
    </xf>
    <xf numFmtId="0" fontId="8" fillId="6" borderId="8" xfId="2" applyFont="1" applyFill="1" applyBorder="1" applyAlignment="1">
      <alignment horizontal="center" vertical="center"/>
    </xf>
    <xf numFmtId="0" fontId="7" fillId="3" borderId="8" xfId="2" applyFont="1" applyFill="1" applyBorder="1" applyAlignment="1">
      <alignment vertical="center"/>
    </xf>
  </cellXfs>
  <cellStyles count="4">
    <cellStyle name="Normal" xfId="0" builtinId="0"/>
    <cellStyle name="Normal 2" xfId="1" xr:uid="{ECF038BB-D2DB-4780-B166-D1342B6A94B6}"/>
    <cellStyle name="Normal 3" xfId="2" xr:uid="{E2BA1E72-2601-4759-8185-48A43C44D531}"/>
    <cellStyle name="Percent 2" xfId="3" xr:uid="{DBB1CDC9-0396-4D6E-8278-120975FC3A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AFC8-F372-4492-A40B-10E9BD75177F}">
  <dimension ref="A1:F300"/>
  <sheetViews>
    <sheetView workbookViewId="0">
      <selection activeCell="D1" sqref="D1"/>
    </sheetView>
    <sheetView workbookViewId="1"/>
  </sheetViews>
  <sheetFormatPr defaultColWidth="8.85546875" defaultRowHeight="15" x14ac:dyDescent="0.25"/>
  <cols>
    <col min="1" max="1" width="8.85546875" style="15"/>
    <col min="2" max="2" width="12.7109375" style="15" bestFit="1" customWidth="1"/>
    <col min="3" max="3" width="20.140625" style="15" bestFit="1" customWidth="1"/>
    <col min="4" max="16384" width="8.85546875" style="15"/>
  </cols>
  <sheetData>
    <row r="1" spans="1:6" x14ac:dyDescent="0.25">
      <c r="A1" s="15" t="s">
        <v>606</v>
      </c>
      <c r="B1" t="s">
        <v>0</v>
      </c>
      <c r="C1" t="s">
        <v>1</v>
      </c>
      <c r="D1" t="s">
        <v>608</v>
      </c>
      <c r="E1" t="s">
        <v>609</v>
      </c>
      <c r="F1" t="s">
        <v>2</v>
      </c>
    </row>
    <row r="2" spans="1:6" x14ac:dyDescent="0.25">
      <c r="A2" s="15">
        <v>2</v>
      </c>
      <c r="B2" t="s">
        <v>3</v>
      </c>
      <c r="C2" t="s">
        <v>276</v>
      </c>
      <c r="D2">
        <v>545513</v>
      </c>
      <c r="E2">
        <v>526464</v>
      </c>
      <c r="F2">
        <v>1071977</v>
      </c>
    </row>
    <row r="3" spans="1:6" x14ac:dyDescent="0.25">
      <c r="A3" s="15">
        <v>3</v>
      </c>
      <c r="B3" t="s">
        <v>4</v>
      </c>
      <c r="C3" t="s">
        <v>203</v>
      </c>
      <c r="D3">
        <v>33181</v>
      </c>
      <c r="E3">
        <v>32520</v>
      </c>
      <c r="F3">
        <v>65701</v>
      </c>
    </row>
    <row r="4" spans="1:6" x14ac:dyDescent="0.25">
      <c r="A4" s="15">
        <v>4</v>
      </c>
      <c r="B4" t="s">
        <v>5</v>
      </c>
      <c r="C4" t="s">
        <v>204</v>
      </c>
      <c r="D4">
        <v>2068</v>
      </c>
      <c r="E4">
        <v>1962</v>
      </c>
      <c r="F4">
        <v>4030</v>
      </c>
    </row>
    <row r="5" spans="1:6" x14ac:dyDescent="0.25">
      <c r="A5" s="15">
        <v>4</v>
      </c>
      <c r="B5" t="s">
        <v>6</v>
      </c>
      <c r="C5" t="s">
        <v>205</v>
      </c>
      <c r="D5">
        <v>2161</v>
      </c>
      <c r="E5">
        <v>2135</v>
      </c>
      <c r="F5">
        <v>4296</v>
      </c>
    </row>
    <row r="6" spans="1:6" x14ac:dyDescent="0.25">
      <c r="A6" s="15">
        <v>4</v>
      </c>
      <c r="B6" t="s">
        <v>7</v>
      </c>
      <c r="C6" t="s">
        <v>206</v>
      </c>
      <c r="D6">
        <v>5510</v>
      </c>
      <c r="E6">
        <v>5314</v>
      </c>
      <c r="F6">
        <v>10824</v>
      </c>
    </row>
    <row r="7" spans="1:6" x14ac:dyDescent="0.25">
      <c r="A7" s="15">
        <v>4</v>
      </c>
      <c r="B7" t="s">
        <v>8</v>
      </c>
      <c r="C7" t="s">
        <v>207</v>
      </c>
      <c r="D7">
        <v>5526</v>
      </c>
      <c r="E7">
        <v>5399</v>
      </c>
      <c r="F7">
        <v>10925</v>
      </c>
    </row>
    <row r="8" spans="1:6" x14ac:dyDescent="0.25">
      <c r="A8" s="15">
        <v>4</v>
      </c>
      <c r="B8" t="s">
        <v>9</v>
      </c>
      <c r="C8" t="s">
        <v>208</v>
      </c>
      <c r="D8">
        <v>1480</v>
      </c>
      <c r="E8">
        <v>1476</v>
      </c>
      <c r="F8">
        <v>2956</v>
      </c>
    </row>
    <row r="9" spans="1:6" x14ac:dyDescent="0.25">
      <c r="A9" s="15">
        <v>4</v>
      </c>
      <c r="B9" t="s">
        <v>10</v>
      </c>
      <c r="C9" t="s">
        <v>209</v>
      </c>
      <c r="D9">
        <v>1358</v>
      </c>
      <c r="E9">
        <v>1366</v>
      </c>
      <c r="F9">
        <v>2724</v>
      </c>
    </row>
    <row r="10" spans="1:6" x14ac:dyDescent="0.25">
      <c r="A10" s="15">
        <v>4</v>
      </c>
      <c r="B10" t="s">
        <v>11</v>
      </c>
      <c r="C10" t="s">
        <v>210</v>
      </c>
      <c r="D10">
        <v>1480</v>
      </c>
      <c r="E10">
        <v>1408</v>
      </c>
      <c r="F10">
        <v>2888</v>
      </c>
    </row>
    <row r="11" spans="1:6" x14ac:dyDescent="0.25">
      <c r="A11" s="15">
        <v>4</v>
      </c>
      <c r="B11" t="s">
        <v>12</v>
      </c>
      <c r="C11" t="s">
        <v>211</v>
      </c>
      <c r="D11">
        <v>1460</v>
      </c>
      <c r="E11">
        <v>1384</v>
      </c>
      <c r="F11">
        <v>2844</v>
      </c>
    </row>
    <row r="12" spans="1:6" x14ac:dyDescent="0.25">
      <c r="A12" s="15">
        <v>4</v>
      </c>
      <c r="B12" t="s">
        <v>13</v>
      </c>
      <c r="C12" t="s">
        <v>212</v>
      </c>
      <c r="D12">
        <v>649</v>
      </c>
      <c r="E12">
        <v>673</v>
      </c>
      <c r="F12">
        <v>1322</v>
      </c>
    </row>
    <row r="13" spans="1:6" x14ac:dyDescent="0.25">
      <c r="A13" s="15">
        <v>4</v>
      </c>
      <c r="B13" t="s">
        <v>14</v>
      </c>
      <c r="C13" t="s">
        <v>213</v>
      </c>
      <c r="D13">
        <v>1416</v>
      </c>
      <c r="E13">
        <v>1481</v>
      </c>
      <c r="F13">
        <v>2897</v>
      </c>
    </row>
    <row r="14" spans="1:6" x14ac:dyDescent="0.25">
      <c r="A14" s="15">
        <v>4</v>
      </c>
      <c r="B14" t="s">
        <v>15</v>
      </c>
      <c r="C14" t="s">
        <v>214</v>
      </c>
      <c r="D14">
        <v>1779</v>
      </c>
      <c r="E14">
        <v>1779</v>
      </c>
      <c r="F14">
        <v>3558</v>
      </c>
    </row>
    <row r="15" spans="1:6" x14ac:dyDescent="0.25">
      <c r="A15" s="15">
        <v>4</v>
      </c>
      <c r="B15" t="s">
        <v>16</v>
      </c>
      <c r="C15" t="s">
        <v>203</v>
      </c>
      <c r="D15">
        <v>2077</v>
      </c>
      <c r="E15">
        <v>1957</v>
      </c>
      <c r="F15">
        <v>4034</v>
      </c>
    </row>
    <row r="16" spans="1:6" x14ac:dyDescent="0.25">
      <c r="A16" s="15">
        <v>4</v>
      </c>
      <c r="B16" t="s">
        <v>17</v>
      </c>
      <c r="C16" t="s">
        <v>215</v>
      </c>
      <c r="D16">
        <v>1485</v>
      </c>
      <c r="E16">
        <v>1512</v>
      </c>
      <c r="F16">
        <v>2997</v>
      </c>
    </row>
    <row r="17" spans="1:6" x14ac:dyDescent="0.25">
      <c r="A17" s="15">
        <v>4</v>
      </c>
      <c r="B17" t="s">
        <v>18</v>
      </c>
      <c r="C17" t="s">
        <v>216</v>
      </c>
      <c r="D17">
        <v>2264</v>
      </c>
      <c r="E17">
        <v>2221</v>
      </c>
      <c r="F17">
        <v>4485</v>
      </c>
    </row>
    <row r="18" spans="1:6" x14ac:dyDescent="0.25">
      <c r="A18" s="15">
        <v>4</v>
      </c>
      <c r="B18" t="s">
        <v>19</v>
      </c>
      <c r="C18" t="s">
        <v>217</v>
      </c>
      <c r="D18">
        <v>2468</v>
      </c>
      <c r="E18">
        <v>2453</v>
      </c>
      <c r="F18">
        <v>4921</v>
      </c>
    </row>
    <row r="19" spans="1:6" x14ac:dyDescent="0.25">
      <c r="A19" s="15">
        <v>3</v>
      </c>
      <c r="B19" t="s">
        <v>20</v>
      </c>
      <c r="C19" t="s">
        <v>218</v>
      </c>
      <c r="D19">
        <v>24801</v>
      </c>
      <c r="E19">
        <v>24632</v>
      </c>
      <c r="F19">
        <v>49433</v>
      </c>
    </row>
    <row r="20" spans="1:6" x14ac:dyDescent="0.25">
      <c r="A20" s="15">
        <v>4</v>
      </c>
      <c r="B20" t="s">
        <v>21</v>
      </c>
      <c r="C20" t="s">
        <v>219</v>
      </c>
      <c r="D20">
        <v>3931</v>
      </c>
      <c r="E20">
        <v>3929</v>
      </c>
      <c r="F20">
        <v>7860</v>
      </c>
    </row>
    <row r="21" spans="1:6" x14ac:dyDescent="0.25">
      <c r="A21" s="15">
        <v>4</v>
      </c>
      <c r="B21" t="s">
        <v>22</v>
      </c>
      <c r="C21" t="s">
        <v>220</v>
      </c>
      <c r="D21">
        <v>1825</v>
      </c>
      <c r="E21">
        <v>1826</v>
      </c>
      <c r="F21">
        <v>3651</v>
      </c>
    </row>
    <row r="22" spans="1:6" x14ac:dyDescent="0.25">
      <c r="A22" s="15">
        <v>4</v>
      </c>
      <c r="B22" t="s">
        <v>23</v>
      </c>
      <c r="C22" t="s">
        <v>221</v>
      </c>
      <c r="D22">
        <v>3110</v>
      </c>
      <c r="E22">
        <v>3148</v>
      </c>
      <c r="F22">
        <v>6258</v>
      </c>
    </row>
    <row r="23" spans="1:6" x14ac:dyDescent="0.25">
      <c r="A23" s="15">
        <v>4</v>
      </c>
      <c r="B23" t="s">
        <v>24</v>
      </c>
      <c r="C23" t="s">
        <v>222</v>
      </c>
      <c r="D23">
        <v>4575</v>
      </c>
      <c r="E23">
        <v>4503</v>
      </c>
      <c r="F23">
        <v>9078</v>
      </c>
    </row>
    <row r="24" spans="1:6" x14ac:dyDescent="0.25">
      <c r="A24" s="15">
        <v>4</v>
      </c>
      <c r="B24" t="s">
        <v>25</v>
      </c>
      <c r="C24" t="s">
        <v>223</v>
      </c>
      <c r="D24">
        <v>3606</v>
      </c>
      <c r="E24">
        <v>3642</v>
      </c>
      <c r="F24">
        <v>7248</v>
      </c>
    </row>
    <row r="25" spans="1:6" x14ac:dyDescent="0.25">
      <c r="A25" s="15">
        <v>4</v>
      </c>
      <c r="B25" t="s">
        <v>26</v>
      </c>
      <c r="C25" t="s">
        <v>224</v>
      </c>
      <c r="D25">
        <v>1814</v>
      </c>
      <c r="E25">
        <v>1815</v>
      </c>
      <c r="F25">
        <v>3629</v>
      </c>
    </row>
    <row r="26" spans="1:6" x14ac:dyDescent="0.25">
      <c r="A26" s="15">
        <v>4</v>
      </c>
      <c r="B26" t="s">
        <v>27</v>
      </c>
      <c r="C26" t="s">
        <v>225</v>
      </c>
      <c r="D26">
        <v>3328</v>
      </c>
      <c r="E26">
        <v>3168</v>
      </c>
      <c r="F26">
        <v>6496</v>
      </c>
    </row>
    <row r="27" spans="1:6" x14ac:dyDescent="0.25">
      <c r="A27" s="15">
        <v>4</v>
      </c>
      <c r="B27" t="s">
        <v>28</v>
      </c>
      <c r="C27" t="s">
        <v>226</v>
      </c>
      <c r="D27">
        <v>2612</v>
      </c>
      <c r="E27">
        <v>2601</v>
      </c>
      <c r="F27">
        <v>5213</v>
      </c>
    </row>
    <row r="28" spans="1:6" x14ac:dyDescent="0.25">
      <c r="A28" s="15">
        <v>3</v>
      </c>
      <c r="B28" t="s">
        <v>29</v>
      </c>
      <c r="C28" t="s">
        <v>227</v>
      </c>
      <c r="D28">
        <v>42202</v>
      </c>
      <c r="E28">
        <v>41260</v>
      </c>
      <c r="F28">
        <v>83462</v>
      </c>
    </row>
    <row r="29" spans="1:6" x14ac:dyDescent="0.25">
      <c r="A29" s="15">
        <v>4</v>
      </c>
      <c r="B29" t="s">
        <v>30</v>
      </c>
      <c r="C29" t="s">
        <v>228</v>
      </c>
      <c r="D29">
        <v>3072</v>
      </c>
      <c r="E29">
        <v>2982</v>
      </c>
      <c r="F29">
        <v>6054</v>
      </c>
    </row>
    <row r="30" spans="1:6" x14ac:dyDescent="0.25">
      <c r="A30" s="15">
        <v>4</v>
      </c>
      <c r="B30" t="s">
        <v>31</v>
      </c>
      <c r="C30" t="s">
        <v>229</v>
      </c>
      <c r="D30">
        <v>4860</v>
      </c>
      <c r="E30">
        <v>4886</v>
      </c>
      <c r="F30">
        <v>9746</v>
      </c>
    </row>
    <row r="31" spans="1:6" x14ac:dyDescent="0.25">
      <c r="A31" s="15">
        <v>4</v>
      </c>
      <c r="B31" t="s">
        <v>32</v>
      </c>
      <c r="C31" t="s">
        <v>230</v>
      </c>
      <c r="D31">
        <v>2392</v>
      </c>
      <c r="E31">
        <v>2381</v>
      </c>
      <c r="F31">
        <v>4773</v>
      </c>
    </row>
    <row r="32" spans="1:6" x14ac:dyDescent="0.25">
      <c r="A32" s="15">
        <v>4</v>
      </c>
      <c r="B32" t="s">
        <v>33</v>
      </c>
      <c r="C32" t="s">
        <v>231</v>
      </c>
      <c r="D32">
        <v>3106</v>
      </c>
      <c r="E32">
        <v>3066</v>
      </c>
      <c r="F32">
        <v>6172</v>
      </c>
    </row>
    <row r="33" spans="1:6" x14ac:dyDescent="0.25">
      <c r="A33" s="15">
        <v>4</v>
      </c>
      <c r="B33" t="s">
        <v>34</v>
      </c>
      <c r="C33" t="s">
        <v>232</v>
      </c>
      <c r="D33">
        <v>3564</v>
      </c>
      <c r="E33">
        <v>3492</v>
      </c>
      <c r="F33">
        <v>7056</v>
      </c>
    </row>
    <row r="34" spans="1:6" x14ac:dyDescent="0.25">
      <c r="A34" s="15">
        <v>4</v>
      </c>
      <c r="B34" t="s">
        <v>35</v>
      </c>
      <c r="C34" t="s">
        <v>233</v>
      </c>
      <c r="D34">
        <v>2740</v>
      </c>
      <c r="E34">
        <v>2663</v>
      </c>
      <c r="F34">
        <v>5403</v>
      </c>
    </row>
    <row r="35" spans="1:6" x14ac:dyDescent="0.25">
      <c r="A35" s="15">
        <v>4</v>
      </c>
      <c r="B35" t="s">
        <v>36</v>
      </c>
      <c r="C35" t="s">
        <v>234</v>
      </c>
      <c r="D35">
        <v>3872</v>
      </c>
      <c r="E35">
        <v>3770</v>
      </c>
      <c r="F35">
        <v>7642</v>
      </c>
    </row>
    <row r="36" spans="1:6" x14ac:dyDescent="0.25">
      <c r="A36" s="15">
        <v>4</v>
      </c>
      <c r="B36" t="s">
        <v>37</v>
      </c>
      <c r="C36" t="s">
        <v>235</v>
      </c>
      <c r="D36">
        <v>1423</v>
      </c>
      <c r="E36">
        <v>1301</v>
      </c>
      <c r="F36">
        <v>2724</v>
      </c>
    </row>
    <row r="37" spans="1:6" x14ac:dyDescent="0.25">
      <c r="A37" s="15">
        <v>4</v>
      </c>
      <c r="B37" t="s">
        <v>38</v>
      </c>
      <c r="C37" t="s">
        <v>236</v>
      </c>
      <c r="D37">
        <v>2691</v>
      </c>
      <c r="E37">
        <v>2672</v>
      </c>
      <c r="F37">
        <v>5363</v>
      </c>
    </row>
    <row r="38" spans="1:6" x14ac:dyDescent="0.25">
      <c r="A38" s="15">
        <v>4</v>
      </c>
      <c r="B38" t="s">
        <v>39</v>
      </c>
      <c r="C38" t="s">
        <v>237</v>
      </c>
      <c r="D38">
        <v>1397</v>
      </c>
      <c r="E38">
        <v>1381</v>
      </c>
      <c r="F38">
        <v>2778</v>
      </c>
    </row>
    <row r="39" spans="1:6" x14ac:dyDescent="0.25">
      <c r="A39" s="15">
        <v>4</v>
      </c>
      <c r="B39" t="s">
        <v>40</v>
      </c>
      <c r="C39" t="s">
        <v>238</v>
      </c>
      <c r="D39">
        <v>1324</v>
      </c>
      <c r="E39">
        <v>1320</v>
      </c>
      <c r="F39">
        <v>2644</v>
      </c>
    </row>
    <row r="40" spans="1:6" x14ac:dyDescent="0.25">
      <c r="A40" s="15">
        <v>4</v>
      </c>
      <c r="B40" t="s">
        <v>41</v>
      </c>
      <c r="C40" t="s">
        <v>239</v>
      </c>
      <c r="D40">
        <v>3679</v>
      </c>
      <c r="E40">
        <v>3488</v>
      </c>
      <c r="F40">
        <v>7167</v>
      </c>
    </row>
    <row r="41" spans="1:6" x14ac:dyDescent="0.25">
      <c r="A41" s="15">
        <v>4</v>
      </c>
      <c r="B41" t="s">
        <v>42</v>
      </c>
      <c r="C41" t="s">
        <v>240</v>
      </c>
      <c r="D41">
        <v>1339</v>
      </c>
      <c r="E41">
        <v>1282</v>
      </c>
      <c r="F41">
        <v>2621</v>
      </c>
    </row>
    <row r="42" spans="1:6" x14ac:dyDescent="0.25">
      <c r="A42" s="15">
        <v>4</v>
      </c>
      <c r="B42" t="s">
        <v>43</v>
      </c>
      <c r="C42" t="s">
        <v>241</v>
      </c>
      <c r="D42">
        <v>3286</v>
      </c>
      <c r="E42">
        <v>3202</v>
      </c>
      <c r="F42">
        <v>6488</v>
      </c>
    </row>
    <row r="43" spans="1:6" x14ac:dyDescent="0.25">
      <c r="A43" s="15">
        <v>4</v>
      </c>
      <c r="B43" t="s">
        <v>44</v>
      </c>
      <c r="C43" t="s">
        <v>242</v>
      </c>
      <c r="D43">
        <v>841</v>
      </c>
      <c r="E43">
        <v>809</v>
      </c>
      <c r="F43">
        <v>1650</v>
      </c>
    </row>
    <row r="44" spans="1:6" x14ac:dyDescent="0.25">
      <c r="A44" s="15">
        <v>4</v>
      </c>
      <c r="B44" t="s">
        <v>45</v>
      </c>
      <c r="C44" t="s">
        <v>243</v>
      </c>
      <c r="D44">
        <v>2616</v>
      </c>
      <c r="E44">
        <v>2565</v>
      </c>
      <c r="F44">
        <v>5181</v>
      </c>
    </row>
    <row r="45" spans="1:6" x14ac:dyDescent="0.25">
      <c r="A45" s="15">
        <v>3</v>
      </c>
      <c r="B45" t="s">
        <v>46</v>
      </c>
      <c r="C45" t="s">
        <v>244</v>
      </c>
      <c r="D45">
        <v>43754</v>
      </c>
      <c r="E45">
        <v>43025</v>
      </c>
      <c r="F45">
        <v>86779</v>
      </c>
    </row>
    <row r="46" spans="1:6" x14ac:dyDescent="0.25">
      <c r="A46" s="15">
        <v>4</v>
      </c>
      <c r="B46" t="s">
        <v>47</v>
      </c>
      <c r="C46" t="s">
        <v>245</v>
      </c>
      <c r="D46">
        <v>2556</v>
      </c>
      <c r="E46">
        <v>2466</v>
      </c>
      <c r="F46">
        <v>5022</v>
      </c>
    </row>
    <row r="47" spans="1:6" x14ac:dyDescent="0.25">
      <c r="A47" s="15">
        <v>4</v>
      </c>
      <c r="B47" t="s">
        <v>48</v>
      </c>
      <c r="C47" t="s">
        <v>246</v>
      </c>
      <c r="D47">
        <v>6126</v>
      </c>
      <c r="E47">
        <v>5871</v>
      </c>
      <c r="F47">
        <v>11997</v>
      </c>
    </row>
    <row r="48" spans="1:6" x14ac:dyDescent="0.25">
      <c r="A48" s="15">
        <v>4</v>
      </c>
      <c r="B48" t="s">
        <v>49</v>
      </c>
      <c r="C48" t="s">
        <v>247</v>
      </c>
      <c r="D48">
        <v>3712</v>
      </c>
      <c r="E48">
        <v>3728</v>
      </c>
      <c r="F48">
        <v>7440</v>
      </c>
    </row>
    <row r="49" spans="1:6" x14ac:dyDescent="0.25">
      <c r="A49" s="15">
        <v>4</v>
      </c>
      <c r="B49" t="s">
        <v>50</v>
      </c>
      <c r="C49" t="s">
        <v>248</v>
      </c>
      <c r="D49">
        <v>2960</v>
      </c>
      <c r="E49">
        <v>2914</v>
      </c>
      <c r="F49">
        <v>5874</v>
      </c>
    </row>
    <row r="50" spans="1:6" x14ac:dyDescent="0.25">
      <c r="A50" s="15">
        <v>4</v>
      </c>
      <c r="B50" t="s">
        <v>51</v>
      </c>
      <c r="C50" t="s">
        <v>249</v>
      </c>
      <c r="D50">
        <v>4268</v>
      </c>
      <c r="E50">
        <v>4142</v>
      </c>
      <c r="F50">
        <v>8410</v>
      </c>
    </row>
    <row r="51" spans="1:6" x14ac:dyDescent="0.25">
      <c r="A51" s="15">
        <v>4</v>
      </c>
      <c r="B51" t="s">
        <v>52</v>
      </c>
      <c r="C51" t="s">
        <v>250</v>
      </c>
      <c r="D51">
        <v>3641</v>
      </c>
      <c r="E51">
        <v>3469</v>
      </c>
      <c r="F51">
        <v>7110</v>
      </c>
    </row>
    <row r="52" spans="1:6" x14ac:dyDescent="0.25">
      <c r="A52" s="15">
        <v>4</v>
      </c>
      <c r="B52" t="s">
        <v>53</v>
      </c>
      <c r="C52" t="s">
        <v>251</v>
      </c>
      <c r="D52">
        <v>2789</v>
      </c>
      <c r="E52">
        <v>2781</v>
      </c>
      <c r="F52">
        <v>5570</v>
      </c>
    </row>
    <row r="53" spans="1:6" x14ac:dyDescent="0.25">
      <c r="A53" s="15">
        <v>4</v>
      </c>
      <c r="B53" t="s">
        <v>54</v>
      </c>
      <c r="C53" t="s">
        <v>252</v>
      </c>
      <c r="D53">
        <v>2499</v>
      </c>
      <c r="E53">
        <v>2534</v>
      </c>
      <c r="F53">
        <v>5033</v>
      </c>
    </row>
    <row r="54" spans="1:6" x14ac:dyDescent="0.25">
      <c r="A54" s="15">
        <v>4</v>
      </c>
      <c r="B54" t="s">
        <v>55</v>
      </c>
      <c r="C54" t="s">
        <v>253</v>
      </c>
      <c r="D54">
        <v>2759</v>
      </c>
      <c r="E54">
        <v>2789</v>
      </c>
      <c r="F54">
        <v>5548</v>
      </c>
    </row>
    <row r="55" spans="1:6" x14ac:dyDescent="0.25">
      <c r="A55" s="15">
        <v>4</v>
      </c>
      <c r="B55" t="s">
        <v>56</v>
      </c>
      <c r="C55" t="s">
        <v>254</v>
      </c>
      <c r="D55">
        <v>4379</v>
      </c>
      <c r="E55">
        <v>4416</v>
      </c>
      <c r="F55">
        <v>8795</v>
      </c>
    </row>
    <row r="56" spans="1:6" x14ac:dyDescent="0.25">
      <c r="A56" s="15">
        <v>4</v>
      </c>
      <c r="B56" t="s">
        <v>57</v>
      </c>
      <c r="C56" t="s">
        <v>255</v>
      </c>
      <c r="D56">
        <v>2415</v>
      </c>
      <c r="E56">
        <v>2337</v>
      </c>
      <c r="F56">
        <v>4752</v>
      </c>
    </row>
    <row r="57" spans="1:6" x14ac:dyDescent="0.25">
      <c r="A57" s="15">
        <v>4</v>
      </c>
      <c r="B57" t="s">
        <v>58</v>
      </c>
      <c r="C57" t="s">
        <v>256</v>
      </c>
      <c r="D57">
        <v>4060</v>
      </c>
      <c r="E57">
        <v>4020</v>
      </c>
      <c r="F57">
        <v>8080</v>
      </c>
    </row>
    <row r="58" spans="1:6" x14ac:dyDescent="0.25">
      <c r="A58" s="15">
        <v>4</v>
      </c>
      <c r="B58" t="s">
        <v>59</v>
      </c>
      <c r="C58" t="s">
        <v>257</v>
      </c>
      <c r="D58">
        <v>1590</v>
      </c>
      <c r="E58">
        <v>1558</v>
      </c>
      <c r="F58">
        <v>3148</v>
      </c>
    </row>
    <row r="59" spans="1:6" x14ac:dyDescent="0.25">
      <c r="A59" s="15">
        <v>3</v>
      </c>
      <c r="B59" t="s">
        <v>60</v>
      </c>
      <c r="C59" t="s">
        <v>258</v>
      </c>
      <c r="D59">
        <v>33746</v>
      </c>
      <c r="E59">
        <v>33003</v>
      </c>
      <c r="F59">
        <v>66749</v>
      </c>
    </row>
    <row r="60" spans="1:6" x14ac:dyDescent="0.25">
      <c r="A60" s="15">
        <v>4</v>
      </c>
      <c r="B60" t="s">
        <v>61</v>
      </c>
      <c r="C60" t="s">
        <v>259</v>
      </c>
      <c r="D60">
        <v>2411</v>
      </c>
      <c r="E60">
        <v>2356</v>
      </c>
      <c r="F60">
        <v>4767</v>
      </c>
    </row>
    <row r="61" spans="1:6" x14ac:dyDescent="0.25">
      <c r="A61" s="15">
        <v>4</v>
      </c>
      <c r="B61" t="s">
        <v>62</v>
      </c>
      <c r="C61" t="s">
        <v>260</v>
      </c>
      <c r="D61">
        <v>2212</v>
      </c>
      <c r="E61">
        <v>2096</v>
      </c>
      <c r="F61">
        <v>4308</v>
      </c>
    </row>
    <row r="62" spans="1:6" x14ac:dyDescent="0.25">
      <c r="A62" s="15">
        <v>4</v>
      </c>
      <c r="B62" t="s">
        <v>63</v>
      </c>
      <c r="C62" t="s">
        <v>261</v>
      </c>
      <c r="D62">
        <v>1944</v>
      </c>
      <c r="E62">
        <v>1802</v>
      </c>
      <c r="F62">
        <v>3746</v>
      </c>
    </row>
    <row r="63" spans="1:6" x14ac:dyDescent="0.25">
      <c r="A63" s="15">
        <v>4</v>
      </c>
      <c r="B63" t="s">
        <v>64</v>
      </c>
      <c r="C63" t="s">
        <v>262</v>
      </c>
      <c r="D63">
        <v>1751</v>
      </c>
      <c r="E63">
        <v>1646</v>
      </c>
      <c r="F63">
        <v>3397</v>
      </c>
    </row>
    <row r="64" spans="1:6" x14ac:dyDescent="0.25">
      <c r="A64" s="15">
        <v>4</v>
      </c>
      <c r="B64" t="s">
        <v>65</v>
      </c>
      <c r="C64" t="s">
        <v>263</v>
      </c>
      <c r="D64">
        <v>990</v>
      </c>
      <c r="E64">
        <v>930</v>
      </c>
      <c r="F64">
        <v>1920</v>
      </c>
    </row>
    <row r="65" spans="1:6" x14ac:dyDescent="0.25">
      <c r="A65" s="15">
        <v>4</v>
      </c>
      <c r="B65" t="s">
        <v>66</v>
      </c>
      <c r="C65" t="s">
        <v>264</v>
      </c>
      <c r="D65">
        <v>1521</v>
      </c>
      <c r="E65">
        <v>1549</v>
      </c>
      <c r="F65">
        <v>3070</v>
      </c>
    </row>
    <row r="66" spans="1:6" x14ac:dyDescent="0.25">
      <c r="A66" s="15">
        <v>4</v>
      </c>
      <c r="B66" t="s">
        <v>67</v>
      </c>
      <c r="C66" t="s">
        <v>265</v>
      </c>
      <c r="D66">
        <v>534</v>
      </c>
      <c r="E66">
        <v>506</v>
      </c>
      <c r="F66">
        <v>1040</v>
      </c>
    </row>
    <row r="67" spans="1:6" x14ac:dyDescent="0.25">
      <c r="A67" s="15">
        <v>4</v>
      </c>
      <c r="B67" t="s">
        <v>68</v>
      </c>
      <c r="C67" t="s">
        <v>266</v>
      </c>
      <c r="D67">
        <v>631</v>
      </c>
      <c r="E67">
        <v>640</v>
      </c>
      <c r="F67">
        <v>1271</v>
      </c>
    </row>
    <row r="68" spans="1:6" x14ac:dyDescent="0.25">
      <c r="A68" s="15">
        <v>4</v>
      </c>
      <c r="B68" t="s">
        <v>69</v>
      </c>
      <c r="C68" t="s">
        <v>267</v>
      </c>
      <c r="D68">
        <v>1592</v>
      </c>
      <c r="E68">
        <v>1549</v>
      </c>
      <c r="F68">
        <v>3141</v>
      </c>
    </row>
    <row r="69" spans="1:6" x14ac:dyDescent="0.25">
      <c r="A69" s="15">
        <v>4</v>
      </c>
      <c r="B69" t="s">
        <v>70</v>
      </c>
      <c r="C69" t="s">
        <v>268</v>
      </c>
      <c r="D69">
        <v>680</v>
      </c>
      <c r="E69">
        <v>643</v>
      </c>
      <c r="F69">
        <v>1323</v>
      </c>
    </row>
    <row r="70" spans="1:6" x14ac:dyDescent="0.25">
      <c r="A70" s="15">
        <v>4</v>
      </c>
      <c r="B70" t="s">
        <v>71</v>
      </c>
      <c r="C70" t="s">
        <v>269</v>
      </c>
      <c r="D70">
        <v>2704</v>
      </c>
      <c r="E70">
        <v>2706</v>
      </c>
      <c r="F70">
        <v>5410</v>
      </c>
    </row>
    <row r="71" spans="1:6" x14ac:dyDescent="0.25">
      <c r="A71" s="15">
        <v>4</v>
      </c>
      <c r="B71" t="s">
        <v>72</v>
      </c>
      <c r="C71" t="s">
        <v>270</v>
      </c>
      <c r="D71">
        <v>2674</v>
      </c>
      <c r="E71">
        <v>2653</v>
      </c>
      <c r="F71">
        <v>5327</v>
      </c>
    </row>
    <row r="72" spans="1:6" x14ac:dyDescent="0.25">
      <c r="A72" s="15">
        <v>4</v>
      </c>
      <c r="B72" t="s">
        <v>73</v>
      </c>
      <c r="C72" t="s">
        <v>271</v>
      </c>
      <c r="D72">
        <v>1312</v>
      </c>
      <c r="E72">
        <v>1264</v>
      </c>
      <c r="F72">
        <v>2576</v>
      </c>
    </row>
    <row r="73" spans="1:6" x14ac:dyDescent="0.25">
      <c r="A73" s="15">
        <v>4</v>
      </c>
      <c r="B73" t="s">
        <v>74</v>
      </c>
      <c r="C73" t="s">
        <v>258</v>
      </c>
      <c r="D73">
        <v>2149</v>
      </c>
      <c r="E73">
        <v>2137</v>
      </c>
      <c r="F73">
        <v>4286</v>
      </c>
    </row>
    <row r="74" spans="1:6" x14ac:dyDescent="0.25">
      <c r="A74" s="15">
        <v>4</v>
      </c>
      <c r="B74" t="s">
        <v>75</v>
      </c>
      <c r="C74" t="s">
        <v>272</v>
      </c>
      <c r="D74">
        <v>856</v>
      </c>
      <c r="E74">
        <v>865</v>
      </c>
      <c r="F74">
        <v>1721</v>
      </c>
    </row>
    <row r="75" spans="1:6" x14ac:dyDescent="0.25">
      <c r="A75" s="15">
        <v>4</v>
      </c>
      <c r="B75" t="s">
        <v>76</v>
      </c>
      <c r="C75" t="s">
        <v>273</v>
      </c>
      <c r="D75">
        <v>3071</v>
      </c>
      <c r="E75">
        <v>3104</v>
      </c>
      <c r="F75">
        <v>6175</v>
      </c>
    </row>
    <row r="76" spans="1:6" x14ac:dyDescent="0.25">
      <c r="A76" s="15">
        <v>4</v>
      </c>
      <c r="B76" t="s">
        <v>77</v>
      </c>
      <c r="C76" t="s">
        <v>274</v>
      </c>
      <c r="D76">
        <v>3258</v>
      </c>
      <c r="E76">
        <v>3158</v>
      </c>
      <c r="F76">
        <v>6416</v>
      </c>
    </row>
    <row r="77" spans="1:6" x14ac:dyDescent="0.25">
      <c r="A77" s="15">
        <v>4</v>
      </c>
      <c r="B77" t="s">
        <v>78</v>
      </c>
      <c r="C77" t="s">
        <v>275</v>
      </c>
      <c r="D77">
        <v>3456</v>
      </c>
      <c r="E77">
        <v>3399</v>
      </c>
      <c r="F77">
        <v>6855</v>
      </c>
    </row>
    <row r="78" spans="1:6" x14ac:dyDescent="0.25">
      <c r="A78" s="15">
        <v>3</v>
      </c>
      <c r="B78" t="s">
        <v>79</v>
      </c>
      <c r="C78" t="s">
        <v>276</v>
      </c>
      <c r="D78">
        <v>35986</v>
      </c>
      <c r="E78">
        <v>35472</v>
      </c>
      <c r="F78">
        <v>71458</v>
      </c>
    </row>
    <row r="79" spans="1:6" x14ac:dyDescent="0.25">
      <c r="A79" s="15">
        <v>4</v>
      </c>
      <c r="B79" t="s">
        <v>80</v>
      </c>
      <c r="C79" t="s">
        <v>277</v>
      </c>
      <c r="D79">
        <v>2929</v>
      </c>
      <c r="E79">
        <v>2816</v>
      </c>
      <c r="F79">
        <v>5745</v>
      </c>
    </row>
    <row r="80" spans="1:6" x14ac:dyDescent="0.25">
      <c r="A80" s="15">
        <v>4</v>
      </c>
      <c r="B80" t="s">
        <v>81</v>
      </c>
      <c r="C80" t="s">
        <v>278</v>
      </c>
      <c r="D80">
        <v>2129</v>
      </c>
      <c r="E80">
        <v>2191</v>
      </c>
      <c r="F80">
        <v>4320</v>
      </c>
    </row>
    <row r="81" spans="1:6" x14ac:dyDescent="0.25">
      <c r="A81" s="15">
        <v>4</v>
      </c>
      <c r="B81" t="s">
        <v>82</v>
      </c>
      <c r="C81" t="s">
        <v>279</v>
      </c>
      <c r="D81">
        <v>1578</v>
      </c>
      <c r="E81">
        <v>1514</v>
      </c>
      <c r="F81">
        <v>3092</v>
      </c>
    </row>
    <row r="82" spans="1:6" x14ac:dyDescent="0.25">
      <c r="A82" s="15">
        <v>4</v>
      </c>
      <c r="B82" t="s">
        <v>83</v>
      </c>
      <c r="C82" t="s">
        <v>280</v>
      </c>
      <c r="D82">
        <v>2037</v>
      </c>
      <c r="E82">
        <v>2021</v>
      </c>
      <c r="F82">
        <v>4058</v>
      </c>
    </row>
    <row r="83" spans="1:6" x14ac:dyDescent="0.25">
      <c r="A83" s="15">
        <v>4</v>
      </c>
      <c r="B83" t="s">
        <v>84</v>
      </c>
      <c r="C83" t="s">
        <v>281</v>
      </c>
      <c r="D83">
        <v>3264</v>
      </c>
      <c r="E83">
        <v>3258</v>
      </c>
      <c r="F83">
        <v>6522</v>
      </c>
    </row>
    <row r="84" spans="1:6" x14ac:dyDescent="0.25">
      <c r="A84" s="15">
        <v>4</v>
      </c>
      <c r="B84" t="s">
        <v>85</v>
      </c>
      <c r="C84" t="s">
        <v>282</v>
      </c>
      <c r="D84">
        <v>4544</v>
      </c>
      <c r="E84">
        <v>4562</v>
      </c>
      <c r="F84">
        <v>9106</v>
      </c>
    </row>
    <row r="85" spans="1:6" x14ac:dyDescent="0.25">
      <c r="A85" s="15">
        <v>4</v>
      </c>
      <c r="B85" t="s">
        <v>86</v>
      </c>
      <c r="C85" t="s">
        <v>283</v>
      </c>
      <c r="D85">
        <v>2595</v>
      </c>
      <c r="E85">
        <v>2613</v>
      </c>
      <c r="F85">
        <v>5208</v>
      </c>
    </row>
    <row r="86" spans="1:6" x14ac:dyDescent="0.25">
      <c r="A86" s="15">
        <v>4</v>
      </c>
      <c r="B86" t="s">
        <v>87</v>
      </c>
      <c r="C86" t="s">
        <v>284</v>
      </c>
      <c r="D86">
        <v>3306</v>
      </c>
      <c r="E86">
        <v>3219</v>
      </c>
      <c r="F86">
        <v>6525</v>
      </c>
    </row>
    <row r="87" spans="1:6" x14ac:dyDescent="0.25">
      <c r="A87" s="15">
        <v>4</v>
      </c>
      <c r="B87" t="s">
        <v>88</v>
      </c>
      <c r="C87" t="s">
        <v>285</v>
      </c>
      <c r="D87">
        <v>5659</v>
      </c>
      <c r="E87">
        <v>5807</v>
      </c>
      <c r="F87">
        <v>11466</v>
      </c>
    </row>
    <row r="88" spans="1:6" x14ac:dyDescent="0.25">
      <c r="A88" s="15">
        <v>4</v>
      </c>
      <c r="B88" t="s">
        <v>89</v>
      </c>
      <c r="C88" t="s">
        <v>286</v>
      </c>
      <c r="D88">
        <v>2724</v>
      </c>
      <c r="E88">
        <v>2569</v>
      </c>
      <c r="F88">
        <v>5293</v>
      </c>
    </row>
    <row r="89" spans="1:6" x14ac:dyDescent="0.25">
      <c r="A89" s="15">
        <v>4</v>
      </c>
      <c r="B89" t="s">
        <v>90</v>
      </c>
      <c r="C89" t="s">
        <v>287</v>
      </c>
      <c r="D89">
        <v>1727</v>
      </c>
      <c r="E89">
        <v>1573</v>
      </c>
      <c r="F89">
        <v>3300</v>
      </c>
    </row>
    <row r="90" spans="1:6" x14ac:dyDescent="0.25">
      <c r="A90" s="15">
        <v>4</v>
      </c>
      <c r="B90" t="s">
        <v>91</v>
      </c>
      <c r="C90" t="s">
        <v>288</v>
      </c>
      <c r="D90">
        <v>1903</v>
      </c>
      <c r="E90">
        <v>1802</v>
      </c>
      <c r="F90">
        <v>3705</v>
      </c>
    </row>
    <row r="91" spans="1:6" x14ac:dyDescent="0.25">
      <c r="A91" s="15">
        <v>4</v>
      </c>
      <c r="B91" t="s">
        <v>92</v>
      </c>
      <c r="C91" t="s">
        <v>289</v>
      </c>
      <c r="D91">
        <v>1591</v>
      </c>
      <c r="E91">
        <v>1527</v>
      </c>
      <c r="F91">
        <v>3118</v>
      </c>
    </row>
    <row r="92" spans="1:6" x14ac:dyDescent="0.25">
      <c r="A92" s="15">
        <v>3</v>
      </c>
      <c r="B92" t="s">
        <v>93</v>
      </c>
      <c r="C92" t="s">
        <v>290</v>
      </c>
      <c r="D92">
        <v>16707</v>
      </c>
      <c r="E92">
        <v>16396</v>
      </c>
      <c r="F92">
        <v>33103</v>
      </c>
    </row>
    <row r="93" spans="1:6" x14ac:dyDescent="0.25">
      <c r="A93" s="15">
        <v>4</v>
      </c>
      <c r="B93" t="s">
        <v>94</v>
      </c>
      <c r="C93" t="s">
        <v>291</v>
      </c>
      <c r="D93">
        <v>1026</v>
      </c>
      <c r="E93">
        <v>989</v>
      </c>
      <c r="F93">
        <v>2015</v>
      </c>
    </row>
    <row r="94" spans="1:6" x14ac:dyDescent="0.25">
      <c r="A94" s="15">
        <v>4</v>
      </c>
      <c r="B94" t="s">
        <v>95</v>
      </c>
      <c r="C94" t="s">
        <v>292</v>
      </c>
      <c r="D94">
        <v>961</v>
      </c>
      <c r="E94">
        <v>964</v>
      </c>
      <c r="F94">
        <v>1925</v>
      </c>
    </row>
    <row r="95" spans="1:6" x14ac:dyDescent="0.25">
      <c r="A95" s="15">
        <v>4</v>
      </c>
      <c r="B95" t="s">
        <v>96</v>
      </c>
      <c r="C95" t="s">
        <v>293</v>
      </c>
      <c r="D95">
        <v>1453</v>
      </c>
      <c r="E95">
        <v>1342</v>
      </c>
      <c r="F95">
        <v>2795</v>
      </c>
    </row>
    <row r="96" spans="1:6" x14ac:dyDescent="0.25">
      <c r="A96" s="15">
        <v>4</v>
      </c>
      <c r="B96" t="s">
        <v>97</v>
      </c>
      <c r="C96" t="s">
        <v>294</v>
      </c>
      <c r="D96">
        <v>1903</v>
      </c>
      <c r="E96">
        <v>1793</v>
      </c>
      <c r="F96">
        <v>3696</v>
      </c>
    </row>
    <row r="97" spans="1:6" x14ac:dyDescent="0.25">
      <c r="A97" s="15">
        <v>4</v>
      </c>
      <c r="B97" t="s">
        <v>98</v>
      </c>
      <c r="C97" t="s">
        <v>295</v>
      </c>
      <c r="D97">
        <v>954</v>
      </c>
      <c r="E97">
        <v>971</v>
      </c>
      <c r="F97">
        <v>1925</v>
      </c>
    </row>
    <row r="98" spans="1:6" x14ac:dyDescent="0.25">
      <c r="A98" s="15">
        <v>4</v>
      </c>
      <c r="B98" t="s">
        <v>99</v>
      </c>
      <c r="C98" t="s">
        <v>296</v>
      </c>
      <c r="D98">
        <v>675</v>
      </c>
      <c r="E98">
        <v>614</v>
      </c>
      <c r="F98">
        <v>1289</v>
      </c>
    </row>
    <row r="99" spans="1:6" x14ac:dyDescent="0.25">
      <c r="A99" s="15">
        <v>4</v>
      </c>
      <c r="B99" t="s">
        <v>100</v>
      </c>
      <c r="C99" t="s">
        <v>297</v>
      </c>
      <c r="D99">
        <v>1566</v>
      </c>
      <c r="E99">
        <v>1562</v>
      </c>
      <c r="F99">
        <v>3128</v>
      </c>
    </row>
    <row r="100" spans="1:6" x14ac:dyDescent="0.25">
      <c r="A100" s="15">
        <v>4</v>
      </c>
      <c r="B100" t="s">
        <v>101</v>
      </c>
      <c r="C100" t="s">
        <v>272</v>
      </c>
      <c r="D100">
        <v>1048</v>
      </c>
      <c r="E100">
        <v>1015</v>
      </c>
      <c r="F100">
        <v>2063</v>
      </c>
    </row>
    <row r="101" spans="1:6" x14ac:dyDescent="0.25">
      <c r="A101" s="15">
        <v>4</v>
      </c>
      <c r="B101" t="s">
        <v>102</v>
      </c>
      <c r="C101" t="s">
        <v>298</v>
      </c>
      <c r="D101">
        <v>2328</v>
      </c>
      <c r="E101">
        <v>2343</v>
      </c>
      <c r="F101">
        <v>4671</v>
      </c>
    </row>
    <row r="102" spans="1:6" x14ac:dyDescent="0.25">
      <c r="A102" s="15">
        <v>4</v>
      </c>
      <c r="B102" t="s">
        <v>103</v>
      </c>
      <c r="C102" t="s">
        <v>299</v>
      </c>
      <c r="D102">
        <v>1671</v>
      </c>
      <c r="E102">
        <v>1607</v>
      </c>
      <c r="F102">
        <v>3278</v>
      </c>
    </row>
    <row r="103" spans="1:6" x14ac:dyDescent="0.25">
      <c r="A103" s="15">
        <v>4</v>
      </c>
      <c r="B103" t="s">
        <v>104</v>
      </c>
      <c r="C103" t="s">
        <v>300</v>
      </c>
      <c r="D103">
        <v>521</v>
      </c>
      <c r="E103">
        <v>540</v>
      </c>
      <c r="F103">
        <v>1061</v>
      </c>
    </row>
    <row r="104" spans="1:6" x14ac:dyDescent="0.25">
      <c r="A104" s="15">
        <v>4</v>
      </c>
      <c r="B104" t="s">
        <v>105</v>
      </c>
      <c r="C104" t="s">
        <v>301</v>
      </c>
      <c r="D104">
        <v>412</v>
      </c>
      <c r="E104">
        <v>427</v>
      </c>
      <c r="F104">
        <v>839</v>
      </c>
    </row>
    <row r="105" spans="1:6" x14ac:dyDescent="0.25">
      <c r="A105" s="15">
        <v>4</v>
      </c>
      <c r="B105" t="s">
        <v>106</v>
      </c>
      <c r="C105" t="s">
        <v>302</v>
      </c>
      <c r="D105">
        <v>255</v>
      </c>
      <c r="E105">
        <v>246</v>
      </c>
      <c r="F105">
        <v>501</v>
      </c>
    </row>
    <row r="106" spans="1:6" x14ac:dyDescent="0.25">
      <c r="A106" s="15">
        <v>4</v>
      </c>
      <c r="B106" t="s">
        <v>107</v>
      </c>
      <c r="C106" t="s">
        <v>290</v>
      </c>
      <c r="D106">
        <v>700</v>
      </c>
      <c r="E106">
        <v>710</v>
      </c>
      <c r="F106">
        <v>1410</v>
      </c>
    </row>
    <row r="107" spans="1:6" x14ac:dyDescent="0.25">
      <c r="A107" s="15">
        <v>4</v>
      </c>
      <c r="B107" t="s">
        <v>108</v>
      </c>
      <c r="C107" t="s">
        <v>303</v>
      </c>
      <c r="D107">
        <v>1234</v>
      </c>
      <c r="E107">
        <v>1273</v>
      </c>
      <c r="F107">
        <v>2507</v>
      </c>
    </row>
    <row r="108" spans="1:6" x14ac:dyDescent="0.25">
      <c r="A108" s="15">
        <v>3</v>
      </c>
      <c r="B108" t="s">
        <v>109</v>
      </c>
      <c r="C108" t="s">
        <v>304</v>
      </c>
      <c r="D108">
        <v>24086</v>
      </c>
      <c r="E108">
        <v>23222</v>
      </c>
      <c r="F108">
        <v>47308</v>
      </c>
    </row>
    <row r="109" spans="1:6" x14ac:dyDescent="0.25">
      <c r="A109" s="15">
        <v>4</v>
      </c>
      <c r="B109" t="s">
        <v>110</v>
      </c>
      <c r="C109" t="s">
        <v>305</v>
      </c>
      <c r="D109">
        <v>1501</v>
      </c>
      <c r="E109">
        <v>1446</v>
      </c>
      <c r="F109">
        <v>2947</v>
      </c>
    </row>
    <row r="110" spans="1:6" x14ac:dyDescent="0.25">
      <c r="A110" s="15">
        <v>4</v>
      </c>
      <c r="B110" t="s">
        <v>111</v>
      </c>
      <c r="C110" t="s">
        <v>306</v>
      </c>
      <c r="D110">
        <v>1388</v>
      </c>
      <c r="E110">
        <v>1379</v>
      </c>
      <c r="F110">
        <v>2767</v>
      </c>
    </row>
    <row r="111" spans="1:6" x14ac:dyDescent="0.25">
      <c r="A111" s="15">
        <v>4</v>
      </c>
      <c r="B111" t="s">
        <v>112</v>
      </c>
      <c r="C111" t="s">
        <v>307</v>
      </c>
      <c r="D111">
        <v>885</v>
      </c>
      <c r="E111">
        <v>870</v>
      </c>
      <c r="F111">
        <v>1755</v>
      </c>
    </row>
    <row r="112" spans="1:6" x14ac:dyDescent="0.25">
      <c r="A112" s="15">
        <v>4</v>
      </c>
      <c r="B112" t="s">
        <v>113</v>
      </c>
      <c r="C112" t="s">
        <v>308</v>
      </c>
      <c r="D112">
        <v>573</v>
      </c>
      <c r="E112">
        <v>560</v>
      </c>
      <c r="F112">
        <v>1133</v>
      </c>
    </row>
    <row r="113" spans="1:6" x14ac:dyDescent="0.25">
      <c r="A113" s="15">
        <v>4</v>
      </c>
      <c r="B113" t="s">
        <v>114</v>
      </c>
      <c r="C113" t="s">
        <v>309</v>
      </c>
      <c r="D113">
        <v>832</v>
      </c>
      <c r="E113">
        <v>836</v>
      </c>
      <c r="F113">
        <v>1668</v>
      </c>
    </row>
    <row r="114" spans="1:6" x14ac:dyDescent="0.25">
      <c r="A114" s="15">
        <v>4</v>
      </c>
      <c r="B114" t="s">
        <v>115</v>
      </c>
      <c r="C114" t="s">
        <v>304</v>
      </c>
      <c r="D114">
        <v>1233</v>
      </c>
      <c r="E114">
        <v>1186</v>
      </c>
      <c r="F114">
        <v>2419</v>
      </c>
    </row>
    <row r="115" spans="1:6" x14ac:dyDescent="0.25">
      <c r="A115" s="15">
        <v>4</v>
      </c>
      <c r="B115" t="s">
        <v>116</v>
      </c>
      <c r="C115" t="s">
        <v>263</v>
      </c>
      <c r="D115">
        <v>976</v>
      </c>
      <c r="E115">
        <v>981</v>
      </c>
      <c r="F115">
        <v>1957</v>
      </c>
    </row>
    <row r="116" spans="1:6" x14ac:dyDescent="0.25">
      <c r="A116" s="15">
        <v>4</v>
      </c>
      <c r="B116" t="s">
        <v>117</v>
      </c>
      <c r="C116" t="s">
        <v>310</v>
      </c>
      <c r="D116">
        <v>910</v>
      </c>
      <c r="E116">
        <v>862</v>
      </c>
      <c r="F116">
        <v>1772</v>
      </c>
    </row>
    <row r="117" spans="1:6" x14ac:dyDescent="0.25">
      <c r="A117" s="15">
        <v>4</v>
      </c>
      <c r="B117" t="s">
        <v>118</v>
      </c>
      <c r="C117" t="s">
        <v>311</v>
      </c>
      <c r="D117">
        <v>1315</v>
      </c>
      <c r="E117">
        <v>1164</v>
      </c>
      <c r="F117">
        <v>2479</v>
      </c>
    </row>
    <row r="118" spans="1:6" x14ac:dyDescent="0.25">
      <c r="A118" s="15">
        <v>4</v>
      </c>
      <c r="B118" t="s">
        <v>119</v>
      </c>
      <c r="C118" t="s">
        <v>312</v>
      </c>
      <c r="D118">
        <v>1689</v>
      </c>
      <c r="E118">
        <v>1635</v>
      </c>
      <c r="F118">
        <v>3324</v>
      </c>
    </row>
    <row r="119" spans="1:6" x14ac:dyDescent="0.25">
      <c r="A119" s="15">
        <v>4</v>
      </c>
      <c r="B119" t="s">
        <v>120</v>
      </c>
      <c r="C119" t="s">
        <v>313</v>
      </c>
      <c r="D119">
        <v>1877</v>
      </c>
      <c r="E119">
        <v>1795</v>
      </c>
      <c r="F119">
        <v>3672</v>
      </c>
    </row>
    <row r="120" spans="1:6" x14ac:dyDescent="0.25">
      <c r="A120" s="15">
        <v>4</v>
      </c>
      <c r="B120" t="s">
        <v>121</v>
      </c>
      <c r="C120" t="s">
        <v>314</v>
      </c>
      <c r="D120">
        <v>1044</v>
      </c>
      <c r="E120">
        <v>992</v>
      </c>
      <c r="F120">
        <v>2036</v>
      </c>
    </row>
    <row r="121" spans="1:6" x14ac:dyDescent="0.25">
      <c r="A121" s="15">
        <v>4</v>
      </c>
      <c r="B121" t="s">
        <v>122</v>
      </c>
      <c r="C121" t="s">
        <v>315</v>
      </c>
      <c r="D121">
        <v>1609</v>
      </c>
      <c r="E121">
        <v>1602</v>
      </c>
      <c r="F121">
        <v>3211</v>
      </c>
    </row>
    <row r="122" spans="1:6" x14ac:dyDescent="0.25">
      <c r="A122" s="15">
        <v>4</v>
      </c>
      <c r="B122" t="s">
        <v>123</v>
      </c>
      <c r="C122" t="s">
        <v>316</v>
      </c>
      <c r="D122">
        <v>1470</v>
      </c>
      <c r="E122">
        <v>1448</v>
      </c>
      <c r="F122">
        <v>2918</v>
      </c>
    </row>
    <row r="123" spans="1:6" x14ac:dyDescent="0.25">
      <c r="A123" s="15">
        <v>4</v>
      </c>
      <c r="B123" t="s">
        <v>124</v>
      </c>
      <c r="C123" t="s">
        <v>317</v>
      </c>
      <c r="D123">
        <v>1133</v>
      </c>
      <c r="E123">
        <v>1028</v>
      </c>
      <c r="F123">
        <v>2161</v>
      </c>
    </row>
    <row r="124" spans="1:6" x14ac:dyDescent="0.25">
      <c r="A124" s="15">
        <v>4</v>
      </c>
      <c r="B124" t="s">
        <v>125</v>
      </c>
      <c r="C124" t="s">
        <v>318</v>
      </c>
      <c r="D124">
        <v>1876</v>
      </c>
      <c r="E124">
        <v>1792</v>
      </c>
      <c r="F124">
        <v>3668</v>
      </c>
    </row>
    <row r="125" spans="1:6" x14ac:dyDescent="0.25">
      <c r="A125" s="15">
        <v>4</v>
      </c>
      <c r="B125" t="s">
        <v>126</v>
      </c>
      <c r="C125" t="s">
        <v>247</v>
      </c>
      <c r="D125">
        <v>481</v>
      </c>
      <c r="E125">
        <v>481</v>
      </c>
      <c r="F125">
        <v>962</v>
      </c>
    </row>
    <row r="126" spans="1:6" x14ac:dyDescent="0.25">
      <c r="A126" s="15">
        <v>4</v>
      </c>
      <c r="B126" t="s">
        <v>127</v>
      </c>
      <c r="C126" t="s">
        <v>319</v>
      </c>
      <c r="D126">
        <v>1312</v>
      </c>
      <c r="E126">
        <v>1271</v>
      </c>
      <c r="F126">
        <v>2583</v>
      </c>
    </row>
    <row r="127" spans="1:6" x14ac:dyDescent="0.25">
      <c r="A127" s="15">
        <v>4</v>
      </c>
      <c r="B127" t="s">
        <v>128</v>
      </c>
      <c r="C127" t="s">
        <v>320</v>
      </c>
      <c r="D127">
        <v>1194</v>
      </c>
      <c r="E127">
        <v>1161</v>
      </c>
      <c r="F127">
        <v>2355</v>
      </c>
    </row>
    <row r="128" spans="1:6" x14ac:dyDescent="0.25">
      <c r="A128" s="15">
        <v>4</v>
      </c>
      <c r="B128" t="s">
        <v>129</v>
      </c>
      <c r="C128" t="s">
        <v>321</v>
      </c>
      <c r="D128">
        <v>788</v>
      </c>
      <c r="E128">
        <v>733</v>
      </c>
      <c r="F128">
        <v>1521</v>
      </c>
    </row>
    <row r="129" spans="1:6" x14ac:dyDescent="0.25">
      <c r="A129" s="15">
        <v>3</v>
      </c>
      <c r="B129" t="s">
        <v>130</v>
      </c>
      <c r="C129" t="s">
        <v>322</v>
      </c>
      <c r="D129">
        <v>24489</v>
      </c>
      <c r="E129">
        <v>23350</v>
      </c>
      <c r="F129">
        <v>47839</v>
      </c>
    </row>
    <row r="130" spans="1:6" x14ac:dyDescent="0.25">
      <c r="A130" s="15">
        <v>4</v>
      </c>
      <c r="B130" t="s">
        <v>131</v>
      </c>
      <c r="C130" t="s">
        <v>323</v>
      </c>
      <c r="D130">
        <v>1355</v>
      </c>
      <c r="E130">
        <v>1376</v>
      </c>
      <c r="F130">
        <v>2731</v>
      </c>
    </row>
    <row r="131" spans="1:6" x14ac:dyDescent="0.25">
      <c r="A131" s="15">
        <v>4</v>
      </c>
      <c r="B131" t="s">
        <v>132</v>
      </c>
      <c r="C131" t="s">
        <v>324</v>
      </c>
      <c r="D131">
        <v>1184</v>
      </c>
      <c r="E131">
        <v>1172</v>
      </c>
      <c r="F131">
        <v>2356</v>
      </c>
    </row>
    <row r="132" spans="1:6" x14ac:dyDescent="0.25">
      <c r="A132" s="15">
        <v>4</v>
      </c>
      <c r="B132" t="s">
        <v>133</v>
      </c>
      <c r="C132" t="s">
        <v>322</v>
      </c>
      <c r="D132">
        <v>1747</v>
      </c>
      <c r="E132">
        <v>1679</v>
      </c>
      <c r="F132">
        <v>3426</v>
      </c>
    </row>
    <row r="133" spans="1:6" x14ac:dyDescent="0.25">
      <c r="A133" s="15">
        <v>4</v>
      </c>
      <c r="B133" t="s">
        <v>134</v>
      </c>
      <c r="C133" t="s">
        <v>325</v>
      </c>
      <c r="D133">
        <v>1280</v>
      </c>
      <c r="E133">
        <v>1158</v>
      </c>
      <c r="F133">
        <v>2438</v>
      </c>
    </row>
    <row r="134" spans="1:6" x14ac:dyDescent="0.25">
      <c r="A134" s="15">
        <v>4</v>
      </c>
      <c r="B134" t="s">
        <v>135</v>
      </c>
      <c r="C134" t="s">
        <v>326</v>
      </c>
      <c r="D134">
        <v>2131</v>
      </c>
      <c r="E134">
        <v>2069</v>
      </c>
      <c r="F134">
        <v>4200</v>
      </c>
    </row>
    <row r="135" spans="1:6" x14ac:dyDescent="0.25">
      <c r="A135" s="15">
        <v>4</v>
      </c>
      <c r="B135" t="s">
        <v>136</v>
      </c>
      <c r="C135" t="s">
        <v>327</v>
      </c>
      <c r="D135">
        <v>1578</v>
      </c>
      <c r="E135">
        <v>1514</v>
      </c>
      <c r="F135">
        <v>3092</v>
      </c>
    </row>
    <row r="136" spans="1:6" x14ac:dyDescent="0.25">
      <c r="A136" s="15">
        <v>4</v>
      </c>
      <c r="B136" t="s">
        <v>137</v>
      </c>
      <c r="C136" t="s">
        <v>328</v>
      </c>
      <c r="D136">
        <v>1259</v>
      </c>
      <c r="E136">
        <v>1174</v>
      </c>
      <c r="F136">
        <v>2433</v>
      </c>
    </row>
    <row r="137" spans="1:6" x14ac:dyDescent="0.25">
      <c r="A137" s="15">
        <v>4</v>
      </c>
      <c r="B137" t="s">
        <v>138</v>
      </c>
      <c r="C137" t="s">
        <v>329</v>
      </c>
      <c r="D137">
        <v>2040</v>
      </c>
      <c r="E137">
        <v>1882</v>
      </c>
      <c r="F137">
        <v>3922</v>
      </c>
    </row>
    <row r="138" spans="1:6" x14ac:dyDescent="0.25">
      <c r="A138" s="15">
        <v>4</v>
      </c>
      <c r="B138" t="s">
        <v>139</v>
      </c>
      <c r="C138" t="s">
        <v>330</v>
      </c>
      <c r="D138">
        <v>574</v>
      </c>
      <c r="E138">
        <v>586</v>
      </c>
      <c r="F138">
        <v>1160</v>
      </c>
    </row>
    <row r="139" spans="1:6" x14ac:dyDescent="0.25">
      <c r="A139" s="15">
        <v>4</v>
      </c>
      <c r="B139" t="s">
        <v>140</v>
      </c>
      <c r="C139" t="s">
        <v>331</v>
      </c>
      <c r="D139">
        <v>1224</v>
      </c>
      <c r="E139">
        <v>1177</v>
      </c>
      <c r="F139">
        <v>2401</v>
      </c>
    </row>
    <row r="140" spans="1:6" x14ac:dyDescent="0.25">
      <c r="A140" s="15">
        <v>4</v>
      </c>
      <c r="B140" t="s">
        <v>141</v>
      </c>
      <c r="C140" t="s">
        <v>332</v>
      </c>
      <c r="D140">
        <v>2196</v>
      </c>
      <c r="E140">
        <v>2012</v>
      </c>
      <c r="F140">
        <v>4208</v>
      </c>
    </row>
    <row r="141" spans="1:6" x14ac:dyDescent="0.25">
      <c r="A141" s="15">
        <v>4</v>
      </c>
      <c r="B141" t="s">
        <v>142</v>
      </c>
      <c r="C141" t="s">
        <v>333</v>
      </c>
      <c r="D141">
        <v>1591</v>
      </c>
      <c r="E141">
        <v>1489</v>
      </c>
      <c r="F141">
        <v>3080</v>
      </c>
    </row>
    <row r="142" spans="1:6" x14ac:dyDescent="0.25">
      <c r="A142" s="15">
        <v>4</v>
      </c>
      <c r="B142" t="s">
        <v>143</v>
      </c>
      <c r="C142" t="s">
        <v>334</v>
      </c>
      <c r="D142">
        <v>2102</v>
      </c>
      <c r="E142">
        <v>1955</v>
      </c>
      <c r="F142">
        <v>4057</v>
      </c>
    </row>
    <row r="143" spans="1:6" x14ac:dyDescent="0.25">
      <c r="A143" s="15">
        <v>4</v>
      </c>
      <c r="B143" t="s">
        <v>144</v>
      </c>
      <c r="C143" t="s">
        <v>335</v>
      </c>
      <c r="D143">
        <v>945</v>
      </c>
      <c r="E143">
        <v>952</v>
      </c>
      <c r="F143">
        <v>1897</v>
      </c>
    </row>
    <row r="144" spans="1:6" x14ac:dyDescent="0.25">
      <c r="A144" s="15">
        <v>4</v>
      </c>
      <c r="B144" t="s">
        <v>145</v>
      </c>
      <c r="C144" t="s">
        <v>336</v>
      </c>
      <c r="D144">
        <v>1464</v>
      </c>
      <c r="E144">
        <v>1448</v>
      </c>
      <c r="F144">
        <v>2912</v>
      </c>
    </row>
    <row r="145" spans="1:6" x14ac:dyDescent="0.25">
      <c r="A145" s="15">
        <v>4</v>
      </c>
      <c r="B145" t="s">
        <v>146</v>
      </c>
      <c r="C145" t="s">
        <v>337</v>
      </c>
      <c r="D145">
        <v>1259</v>
      </c>
      <c r="E145">
        <v>1170</v>
      </c>
      <c r="F145">
        <v>2429</v>
      </c>
    </row>
    <row r="146" spans="1:6" x14ac:dyDescent="0.25">
      <c r="A146" s="15">
        <v>4</v>
      </c>
      <c r="B146" t="s">
        <v>147</v>
      </c>
      <c r="C146" t="s">
        <v>338</v>
      </c>
      <c r="D146">
        <v>560</v>
      </c>
      <c r="E146">
        <v>537</v>
      </c>
      <c r="F146">
        <v>1097</v>
      </c>
    </row>
    <row r="147" spans="1:6" x14ac:dyDescent="0.25">
      <c r="A147" s="15">
        <v>3</v>
      </c>
      <c r="B147" t="s">
        <v>148</v>
      </c>
      <c r="C147" t="s">
        <v>339</v>
      </c>
      <c r="D147">
        <v>18026</v>
      </c>
      <c r="E147">
        <v>17678</v>
      </c>
      <c r="F147">
        <v>35704</v>
      </c>
    </row>
    <row r="148" spans="1:6" x14ac:dyDescent="0.25">
      <c r="A148" s="15">
        <v>4</v>
      </c>
      <c r="B148" t="s">
        <v>149</v>
      </c>
      <c r="C148" t="s">
        <v>340</v>
      </c>
      <c r="D148">
        <v>1399</v>
      </c>
      <c r="E148">
        <v>1387</v>
      </c>
      <c r="F148">
        <v>2786</v>
      </c>
    </row>
    <row r="149" spans="1:6" x14ac:dyDescent="0.25">
      <c r="A149" s="15">
        <v>4</v>
      </c>
      <c r="B149" t="s">
        <v>150</v>
      </c>
      <c r="C149" t="s">
        <v>341</v>
      </c>
      <c r="D149">
        <v>1266</v>
      </c>
      <c r="E149">
        <v>1313</v>
      </c>
      <c r="F149">
        <v>2579</v>
      </c>
    </row>
    <row r="150" spans="1:6" x14ac:dyDescent="0.25">
      <c r="A150" s="15">
        <v>4</v>
      </c>
      <c r="B150" t="s">
        <v>151</v>
      </c>
      <c r="C150" t="s">
        <v>342</v>
      </c>
      <c r="D150">
        <v>1086</v>
      </c>
      <c r="E150">
        <v>1105</v>
      </c>
      <c r="F150">
        <v>2191</v>
      </c>
    </row>
    <row r="151" spans="1:6" x14ac:dyDescent="0.25">
      <c r="A151" s="15">
        <v>4</v>
      </c>
      <c r="B151" t="s">
        <v>152</v>
      </c>
      <c r="C151" t="s">
        <v>339</v>
      </c>
      <c r="D151">
        <v>1671</v>
      </c>
      <c r="E151">
        <v>1725</v>
      </c>
      <c r="F151">
        <v>3396</v>
      </c>
    </row>
    <row r="152" spans="1:6" x14ac:dyDescent="0.25">
      <c r="A152" s="15">
        <v>4</v>
      </c>
      <c r="B152" t="s">
        <v>153</v>
      </c>
      <c r="C152" t="s">
        <v>343</v>
      </c>
      <c r="D152">
        <v>1786</v>
      </c>
      <c r="E152">
        <v>1711</v>
      </c>
      <c r="F152">
        <v>3497</v>
      </c>
    </row>
    <row r="153" spans="1:6" x14ac:dyDescent="0.25">
      <c r="A153" s="15">
        <v>4</v>
      </c>
      <c r="B153" t="s">
        <v>154</v>
      </c>
      <c r="C153" t="s">
        <v>344</v>
      </c>
      <c r="D153">
        <v>3226</v>
      </c>
      <c r="E153">
        <v>3033</v>
      </c>
      <c r="F153">
        <v>6259</v>
      </c>
    </row>
    <row r="154" spans="1:6" x14ac:dyDescent="0.25">
      <c r="A154" s="15">
        <v>4</v>
      </c>
      <c r="B154" t="s">
        <v>155</v>
      </c>
      <c r="C154" t="s">
        <v>345</v>
      </c>
      <c r="D154">
        <v>1638</v>
      </c>
      <c r="E154">
        <v>1571</v>
      </c>
      <c r="F154">
        <v>3209</v>
      </c>
    </row>
    <row r="155" spans="1:6" x14ac:dyDescent="0.25">
      <c r="A155" s="15">
        <v>4</v>
      </c>
      <c r="B155" t="s">
        <v>156</v>
      </c>
      <c r="C155" t="s">
        <v>346</v>
      </c>
      <c r="D155">
        <v>1996</v>
      </c>
      <c r="E155">
        <v>1939</v>
      </c>
      <c r="F155">
        <v>3935</v>
      </c>
    </row>
    <row r="156" spans="1:6" x14ac:dyDescent="0.25">
      <c r="A156" s="15">
        <v>4</v>
      </c>
      <c r="B156" t="s">
        <v>157</v>
      </c>
      <c r="C156" t="s">
        <v>347</v>
      </c>
      <c r="D156">
        <v>1547</v>
      </c>
      <c r="E156">
        <v>1554</v>
      </c>
      <c r="F156">
        <v>3101</v>
      </c>
    </row>
    <row r="157" spans="1:6" x14ac:dyDescent="0.25">
      <c r="A157" s="15">
        <v>4</v>
      </c>
      <c r="B157" t="s">
        <v>158</v>
      </c>
      <c r="C157" t="s">
        <v>348</v>
      </c>
      <c r="D157">
        <v>1531</v>
      </c>
      <c r="E157">
        <v>1497</v>
      </c>
      <c r="F157">
        <v>3028</v>
      </c>
    </row>
    <row r="158" spans="1:6" x14ac:dyDescent="0.25">
      <c r="A158" s="15">
        <v>4</v>
      </c>
      <c r="B158" t="s">
        <v>159</v>
      </c>
      <c r="C158" t="s">
        <v>349</v>
      </c>
      <c r="D158">
        <v>880</v>
      </c>
      <c r="E158">
        <v>843</v>
      </c>
      <c r="F158">
        <v>1723</v>
      </c>
    </row>
    <row r="159" spans="1:6" x14ac:dyDescent="0.25">
      <c r="A159" s="15">
        <v>3</v>
      </c>
      <c r="B159" t="s">
        <v>160</v>
      </c>
      <c r="C159" t="s">
        <v>350</v>
      </c>
      <c r="D159">
        <v>28786</v>
      </c>
      <c r="E159">
        <v>28188</v>
      </c>
      <c r="F159">
        <v>56974</v>
      </c>
    </row>
    <row r="160" spans="1:6" x14ac:dyDescent="0.25">
      <c r="A160" s="15">
        <v>4</v>
      </c>
      <c r="B160" t="s">
        <v>161</v>
      </c>
      <c r="C160" t="s">
        <v>351</v>
      </c>
      <c r="D160">
        <v>3232</v>
      </c>
      <c r="E160">
        <v>3257</v>
      </c>
      <c r="F160">
        <v>6489</v>
      </c>
    </row>
    <row r="161" spans="1:6" x14ac:dyDescent="0.25">
      <c r="A161" s="15">
        <v>4</v>
      </c>
      <c r="B161" t="s">
        <v>162</v>
      </c>
      <c r="C161" t="s">
        <v>352</v>
      </c>
      <c r="D161">
        <v>3447</v>
      </c>
      <c r="E161">
        <v>3191</v>
      </c>
      <c r="F161">
        <v>6638</v>
      </c>
    </row>
    <row r="162" spans="1:6" x14ac:dyDescent="0.25">
      <c r="A162" s="15">
        <v>4</v>
      </c>
      <c r="B162" t="s">
        <v>163</v>
      </c>
      <c r="C162" t="s">
        <v>353</v>
      </c>
      <c r="D162">
        <v>2450</v>
      </c>
      <c r="E162">
        <v>2401</v>
      </c>
      <c r="F162">
        <v>4851</v>
      </c>
    </row>
    <row r="163" spans="1:6" x14ac:dyDescent="0.25">
      <c r="A163" s="15">
        <v>4</v>
      </c>
      <c r="B163" t="s">
        <v>164</v>
      </c>
      <c r="C163" t="s">
        <v>350</v>
      </c>
      <c r="D163">
        <v>2483</v>
      </c>
      <c r="E163">
        <v>2380</v>
      </c>
      <c r="F163">
        <v>4863</v>
      </c>
    </row>
    <row r="164" spans="1:6" x14ac:dyDescent="0.25">
      <c r="A164" s="15">
        <v>4</v>
      </c>
      <c r="B164" t="s">
        <v>165</v>
      </c>
      <c r="C164" t="s">
        <v>354</v>
      </c>
      <c r="D164">
        <v>3303</v>
      </c>
      <c r="E164">
        <v>3280</v>
      </c>
      <c r="F164">
        <v>6583</v>
      </c>
    </row>
    <row r="165" spans="1:6" x14ac:dyDescent="0.25">
      <c r="A165" s="15">
        <v>4</v>
      </c>
      <c r="B165" t="s">
        <v>166</v>
      </c>
      <c r="C165" t="s">
        <v>272</v>
      </c>
      <c r="D165">
        <v>2455</v>
      </c>
      <c r="E165">
        <v>2483</v>
      </c>
      <c r="F165">
        <v>4938</v>
      </c>
    </row>
    <row r="166" spans="1:6" x14ac:dyDescent="0.25">
      <c r="A166" s="15">
        <v>4</v>
      </c>
      <c r="B166" t="s">
        <v>167</v>
      </c>
      <c r="C166" t="s">
        <v>355</v>
      </c>
      <c r="D166">
        <v>2277</v>
      </c>
      <c r="E166">
        <v>2296</v>
      </c>
      <c r="F166">
        <v>4573</v>
      </c>
    </row>
    <row r="167" spans="1:6" x14ac:dyDescent="0.25">
      <c r="A167" s="15">
        <v>4</v>
      </c>
      <c r="B167" t="s">
        <v>168</v>
      </c>
      <c r="C167" t="s">
        <v>356</v>
      </c>
      <c r="D167">
        <v>2746</v>
      </c>
      <c r="E167">
        <v>2710</v>
      </c>
      <c r="F167">
        <v>5456</v>
      </c>
    </row>
    <row r="168" spans="1:6" x14ac:dyDescent="0.25">
      <c r="A168" s="15">
        <v>4</v>
      </c>
      <c r="B168" t="s">
        <v>169</v>
      </c>
      <c r="C168" t="s">
        <v>357</v>
      </c>
      <c r="D168">
        <v>1847</v>
      </c>
      <c r="E168">
        <v>1772</v>
      </c>
      <c r="F168">
        <v>3619</v>
      </c>
    </row>
    <row r="169" spans="1:6" x14ac:dyDescent="0.25">
      <c r="A169" s="15">
        <v>4</v>
      </c>
      <c r="B169" t="s">
        <v>170</v>
      </c>
      <c r="C169" t="s">
        <v>358</v>
      </c>
      <c r="D169">
        <v>1051</v>
      </c>
      <c r="E169">
        <v>1076</v>
      </c>
      <c r="F169">
        <v>2127</v>
      </c>
    </row>
    <row r="170" spans="1:6" x14ac:dyDescent="0.25">
      <c r="A170" s="15">
        <v>4</v>
      </c>
      <c r="B170" t="s">
        <v>171</v>
      </c>
      <c r="C170" t="s">
        <v>359</v>
      </c>
      <c r="D170">
        <v>3495</v>
      </c>
      <c r="E170">
        <v>3342</v>
      </c>
      <c r="F170">
        <v>6837</v>
      </c>
    </row>
    <row r="171" spans="1:6" x14ac:dyDescent="0.25">
      <c r="A171" s="15">
        <v>3</v>
      </c>
      <c r="B171" t="s">
        <v>172</v>
      </c>
      <c r="C171" t="s">
        <v>360</v>
      </c>
      <c r="D171">
        <v>47634</v>
      </c>
      <c r="E171">
        <v>45311</v>
      </c>
      <c r="F171">
        <v>92945</v>
      </c>
    </row>
    <row r="172" spans="1:6" x14ac:dyDescent="0.25">
      <c r="A172" s="15">
        <v>4</v>
      </c>
      <c r="B172" t="s">
        <v>173</v>
      </c>
      <c r="C172" t="s">
        <v>361</v>
      </c>
      <c r="D172">
        <v>2604</v>
      </c>
      <c r="E172">
        <v>2543</v>
      </c>
      <c r="F172">
        <v>5147</v>
      </c>
    </row>
    <row r="173" spans="1:6" x14ac:dyDescent="0.25">
      <c r="A173" s="15">
        <v>4</v>
      </c>
      <c r="B173" t="s">
        <v>174</v>
      </c>
      <c r="C173" t="s">
        <v>362</v>
      </c>
      <c r="D173">
        <v>3274</v>
      </c>
      <c r="E173">
        <v>3210</v>
      </c>
      <c r="F173">
        <v>6484</v>
      </c>
    </row>
    <row r="174" spans="1:6" x14ac:dyDescent="0.25">
      <c r="A174" s="15">
        <v>4</v>
      </c>
      <c r="B174" t="s">
        <v>175</v>
      </c>
      <c r="C174" t="s">
        <v>363</v>
      </c>
      <c r="D174">
        <v>1917</v>
      </c>
      <c r="E174">
        <v>1803</v>
      </c>
      <c r="F174">
        <v>3720</v>
      </c>
    </row>
    <row r="175" spans="1:6" x14ac:dyDescent="0.25">
      <c r="A175" s="15">
        <v>4</v>
      </c>
      <c r="B175" t="s">
        <v>176</v>
      </c>
      <c r="C175" t="s">
        <v>364</v>
      </c>
      <c r="D175">
        <v>3246</v>
      </c>
      <c r="E175">
        <v>3070</v>
      </c>
      <c r="F175">
        <v>6316</v>
      </c>
    </row>
    <row r="176" spans="1:6" x14ac:dyDescent="0.25">
      <c r="A176" s="15">
        <v>4</v>
      </c>
      <c r="B176" t="s">
        <v>177</v>
      </c>
      <c r="C176" t="s">
        <v>365</v>
      </c>
      <c r="D176">
        <v>2995</v>
      </c>
      <c r="E176">
        <v>2877</v>
      </c>
      <c r="F176">
        <v>5872</v>
      </c>
    </row>
    <row r="177" spans="1:6" x14ac:dyDescent="0.25">
      <c r="A177" s="15">
        <v>4</v>
      </c>
      <c r="B177" t="s">
        <v>178</v>
      </c>
      <c r="C177" t="s">
        <v>366</v>
      </c>
      <c r="D177">
        <v>2129</v>
      </c>
      <c r="E177">
        <v>2047</v>
      </c>
      <c r="F177">
        <v>4176</v>
      </c>
    </row>
    <row r="178" spans="1:6" x14ac:dyDescent="0.25">
      <c r="A178" s="15">
        <v>4</v>
      </c>
      <c r="B178" t="s">
        <v>179</v>
      </c>
      <c r="C178" t="s">
        <v>367</v>
      </c>
      <c r="D178">
        <v>1873</v>
      </c>
      <c r="E178">
        <v>1731</v>
      </c>
      <c r="F178">
        <v>3604</v>
      </c>
    </row>
    <row r="179" spans="1:6" x14ac:dyDescent="0.25">
      <c r="A179" s="15">
        <v>4</v>
      </c>
      <c r="B179" t="s">
        <v>180</v>
      </c>
      <c r="C179" t="s">
        <v>368</v>
      </c>
      <c r="D179">
        <v>2575</v>
      </c>
      <c r="E179">
        <v>2435</v>
      </c>
      <c r="F179">
        <v>5010</v>
      </c>
    </row>
    <row r="180" spans="1:6" x14ac:dyDescent="0.25">
      <c r="A180" s="15">
        <v>4</v>
      </c>
      <c r="B180" t="s">
        <v>181</v>
      </c>
      <c r="C180" t="s">
        <v>369</v>
      </c>
      <c r="D180">
        <v>2802</v>
      </c>
      <c r="E180">
        <v>2681</v>
      </c>
      <c r="F180">
        <v>5483</v>
      </c>
    </row>
    <row r="181" spans="1:6" x14ac:dyDescent="0.25">
      <c r="A181" s="15">
        <v>4</v>
      </c>
      <c r="B181" t="s">
        <v>182</v>
      </c>
      <c r="C181" t="s">
        <v>360</v>
      </c>
      <c r="D181">
        <v>4329</v>
      </c>
      <c r="E181">
        <v>4221</v>
      </c>
      <c r="F181">
        <v>8550</v>
      </c>
    </row>
    <row r="182" spans="1:6" x14ac:dyDescent="0.25">
      <c r="A182" s="15">
        <v>4</v>
      </c>
      <c r="B182" t="s">
        <v>183</v>
      </c>
      <c r="C182" t="s">
        <v>370</v>
      </c>
      <c r="D182">
        <v>3369</v>
      </c>
      <c r="E182">
        <v>3202</v>
      </c>
      <c r="F182">
        <v>6571</v>
      </c>
    </row>
    <row r="183" spans="1:6" x14ac:dyDescent="0.25">
      <c r="A183" s="15">
        <v>4</v>
      </c>
      <c r="B183" t="s">
        <v>184</v>
      </c>
      <c r="C183" t="s">
        <v>371</v>
      </c>
      <c r="D183">
        <v>2726</v>
      </c>
      <c r="E183">
        <v>2518</v>
      </c>
      <c r="F183">
        <v>5244</v>
      </c>
    </row>
    <row r="184" spans="1:6" x14ac:dyDescent="0.25">
      <c r="A184" s="15">
        <v>4</v>
      </c>
      <c r="B184" t="s">
        <v>185</v>
      </c>
      <c r="C184" t="s">
        <v>372</v>
      </c>
      <c r="D184">
        <v>3753</v>
      </c>
      <c r="E184">
        <v>3670</v>
      </c>
      <c r="F184">
        <v>7423</v>
      </c>
    </row>
    <row r="185" spans="1:6" x14ac:dyDescent="0.25">
      <c r="A185" s="15">
        <v>4</v>
      </c>
      <c r="B185" t="s">
        <v>186</v>
      </c>
      <c r="C185" t="s">
        <v>373</v>
      </c>
      <c r="D185">
        <v>3217</v>
      </c>
      <c r="E185">
        <v>2981</v>
      </c>
      <c r="F185">
        <v>6198</v>
      </c>
    </row>
    <row r="186" spans="1:6" x14ac:dyDescent="0.25">
      <c r="A186" s="15">
        <v>4</v>
      </c>
      <c r="B186" t="s">
        <v>187</v>
      </c>
      <c r="C186" t="s">
        <v>374</v>
      </c>
      <c r="D186">
        <v>2546</v>
      </c>
      <c r="E186">
        <v>2415</v>
      </c>
      <c r="F186">
        <v>4961</v>
      </c>
    </row>
    <row r="187" spans="1:6" x14ac:dyDescent="0.25">
      <c r="A187" s="15">
        <v>4</v>
      </c>
      <c r="B187" t="s">
        <v>188</v>
      </c>
      <c r="C187" t="s">
        <v>375</v>
      </c>
      <c r="D187">
        <v>2830</v>
      </c>
      <c r="E187">
        <v>2628</v>
      </c>
      <c r="F187">
        <v>5458</v>
      </c>
    </row>
    <row r="188" spans="1:6" x14ac:dyDescent="0.25">
      <c r="A188" s="15">
        <v>4</v>
      </c>
      <c r="B188" t="s">
        <v>189</v>
      </c>
      <c r="C188" t="s">
        <v>376</v>
      </c>
      <c r="D188">
        <v>1449</v>
      </c>
      <c r="E188">
        <v>1279</v>
      </c>
      <c r="F188">
        <v>2728</v>
      </c>
    </row>
    <row r="189" spans="1:6" x14ac:dyDescent="0.25">
      <c r="A189" s="15">
        <v>3</v>
      </c>
      <c r="B189" t="s">
        <v>190</v>
      </c>
      <c r="C189" t="s">
        <v>377</v>
      </c>
      <c r="D189">
        <v>17130</v>
      </c>
      <c r="E189">
        <v>16044</v>
      </c>
      <c r="F189">
        <v>33174</v>
      </c>
    </row>
    <row r="190" spans="1:6" x14ac:dyDescent="0.25">
      <c r="A190" s="15">
        <v>4</v>
      </c>
      <c r="B190" t="s">
        <v>191</v>
      </c>
      <c r="C190" t="s">
        <v>378</v>
      </c>
      <c r="D190">
        <v>783</v>
      </c>
      <c r="E190">
        <v>718</v>
      </c>
      <c r="F190">
        <v>1501</v>
      </c>
    </row>
    <row r="191" spans="1:6" x14ac:dyDescent="0.25">
      <c r="A191" s="15">
        <v>4</v>
      </c>
      <c r="B191" t="s">
        <v>192</v>
      </c>
      <c r="C191" t="s">
        <v>379</v>
      </c>
      <c r="D191">
        <v>523</v>
      </c>
      <c r="E191">
        <v>488</v>
      </c>
      <c r="F191">
        <v>1011</v>
      </c>
    </row>
    <row r="192" spans="1:6" x14ac:dyDescent="0.25">
      <c r="A192" s="15">
        <v>4</v>
      </c>
      <c r="B192" t="s">
        <v>193</v>
      </c>
      <c r="C192" t="s">
        <v>380</v>
      </c>
      <c r="D192">
        <v>1369</v>
      </c>
      <c r="E192">
        <v>1264</v>
      </c>
      <c r="F192">
        <v>2633</v>
      </c>
    </row>
    <row r="193" spans="1:6" x14ac:dyDescent="0.25">
      <c r="A193" s="15">
        <v>4</v>
      </c>
      <c r="B193" t="s">
        <v>194</v>
      </c>
      <c r="C193" t="s">
        <v>381</v>
      </c>
      <c r="D193">
        <v>1316</v>
      </c>
      <c r="E193">
        <v>1219</v>
      </c>
      <c r="F193">
        <v>2535</v>
      </c>
    </row>
    <row r="194" spans="1:6" x14ac:dyDescent="0.25">
      <c r="A194" s="15">
        <v>4</v>
      </c>
      <c r="B194" t="s">
        <v>195</v>
      </c>
      <c r="C194" t="s">
        <v>382</v>
      </c>
      <c r="D194">
        <v>1306</v>
      </c>
      <c r="E194">
        <v>1185</v>
      </c>
      <c r="F194">
        <v>2491</v>
      </c>
    </row>
    <row r="195" spans="1:6" x14ac:dyDescent="0.25">
      <c r="A195" s="15">
        <v>4</v>
      </c>
      <c r="B195" t="s">
        <v>196</v>
      </c>
      <c r="C195" t="s">
        <v>383</v>
      </c>
      <c r="D195">
        <v>1058</v>
      </c>
      <c r="E195">
        <v>996</v>
      </c>
      <c r="F195">
        <v>2054</v>
      </c>
    </row>
    <row r="196" spans="1:6" x14ac:dyDescent="0.25">
      <c r="A196" s="15">
        <v>4</v>
      </c>
      <c r="B196" t="s">
        <v>197</v>
      </c>
      <c r="C196" t="s">
        <v>384</v>
      </c>
      <c r="D196">
        <v>752</v>
      </c>
      <c r="E196">
        <v>700</v>
      </c>
      <c r="F196">
        <v>1452</v>
      </c>
    </row>
    <row r="197" spans="1:6" x14ac:dyDescent="0.25">
      <c r="A197" s="15">
        <v>4</v>
      </c>
      <c r="B197" t="s">
        <v>198</v>
      </c>
      <c r="C197" t="s">
        <v>385</v>
      </c>
      <c r="D197">
        <v>1383</v>
      </c>
      <c r="E197">
        <v>1288</v>
      </c>
      <c r="F197">
        <v>2671</v>
      </c>
    </row>
    <row r="198" spans="1:6" x14ac:dyDescent="0.25">
      <c r="A198" s="15">
        <v>4</v>
      </c>
      <c r="B198" t="s">
        <v>199</v>
      </c>
      <c r="C198" t="s">
        <v>386</v>
      </c>
      <c r="D198">
        <v>533</v>
      </c>
      <c r="E198">
        <v>478</v>
      </c>
      <c r="F198">
        <v>1011</v>
      </c>
    </row>
    <row r="199" spans="1:6" x14ac:dyDescent="0.25">
      <c r="A199" s="15">
        <v>4</v>
      </c>
      <c r="B199" t="s">
        <v>200</v>
      </c>
      <c r="C199" t="s">
        <v>387</v>
      </c>
      <c r="D199">
        <v>1349</v>
      </c>
      <c r="E199">
        <v>1275</v>
      </c>
      <c r="F199">
        <v>2624</v>
      </c>
    </row>
    <row r="200" spans="1:6" x14ac:dyDescent="0.25">
      <c r="A200" s="15">
        <v>4</v>
      </c>
      <c r="B200" t="s">
        <v>201</v>
      </c>
      <c r="C200" t="s">
        <v>388</v>
      </c>
      <c r="D200">
        <v>1585</v>
      </c>
      <c r="E200">
        <v>1477</v>
      </c>
      <c r="F200">
        <v>3062</v>
      </c>
    </row>
    <row r="201" spans="1:6" x14ac:dyDescent="0.25">
      <c r="A201" s="15">
        <v>4</v>
      </c>
      <c r="B201" t="s">
        <v>202</v>
      </c>
      <c r="C201" t="s">
        <v>377</v>
      </c>
      <c r="D201">
        <v>2840</v>
      </c>
      <c r="E201">
        <v>2705</v>
      </c>
      <c r="F201">
        <v>5545</v>
      </c>
    </row>
    <row r="202" spans="1:6" x14ac:dyDescent="0.25">
      <c r="A202" s="15">
        <v>4</v>
      </c>
      <c r="B202" t="s">
        <v>389</v>
      </c>
      <c r="C202" t="s">
        <v>488</v>
      </c>
      <c r="D202">
        <v>2333</v>
      </c>
      <c r="E202">
        <v>2251</v>
      </c>
      <c r="F202">
        <v>4584</v>
      </c>
    </row>
    <row r="203" spans="1:6" x14ac:dyDescent="0.25">
      <c r="A203" s="15">
        <v>3</v>
      </c>
      <c r="B203" t="s">
        <v>390</v>
      </c>
      <c r="C203" t="s">
        <v>489</v>
      </c>
      <c r="D203">
        <v>20831</v>
      </c>
      <c r="E203">
        <v>19818</v>
      </c>
      <c r="F203">
        <v>40649</v>
      </c>
    </row>
    <row r="204" spans="1:6" x14ac:dyDescent="0.25">
      <c r="A204" s="15">
        <v>4</v>
      </c>
      <c r="B204" t="s">
        <v>391</v>
      </c>
      <c r="C204" t="s">
        <v>490</v>
      </c>
      <c r="D204">
        <v>1059</v>
      </c>
      <c r="E204">
        <v>993</v>
      </c>
      <c r="F204">
        <v>2052</v>
      </c>
    </row>
    <row r="205" spans="1:6" x14ac:dyDescent="0.25">
      <c r="A205" s="15">
        <v>4</v>
      </c>
      <c r="B205" t="s">
        <v>392</v>
      </c>
      <c r="C205" t="s">
        <v>491</v>
      </c>
      <c r="D205">
        <v>1024</v>
      </c>
      <c r="E205">
        <v>915</v>
      </c>
      <c r="F205">
        <v>1939</v>
      </c>
    </row>
    <row r="206" spans="1:6" x14ac:dyDescent="0.25">
      <c r="A206" s="15">
        <v>4</v>
      </c>
      <c r="B206" t="s">
        <v>393</v>
      </c>
      <c r="C206" t="s">
        <v>492</v>
      </c>
      <c r="D206">
        <v>1218</v>
      </c>
      <c r="E206">
        <v>1159</v>
      </c>
      <c r="F206">
        <v>2377</v>
      </c>
    </row>
    <row r="207" spans="1:6" x14ac:dyDescent="0.25">
      <c r="A207" s="15">
        <v>4</v>
      </c>
      <c r="B207" t="s">
        <v>394</v>
      </c>
      <c r="C207" t="s">
        <v>493</v>
      </c>
      <c r="D207">
        <v>943</v>
      </c>
      <c r="E207">
        <v>854</v>
      </c>
      <c r="F207">
        <v>1797</v>
      </c>
    </row>
    <row r="208" spans="1:6" x14ac:dyDescent="0.25">
      <c r="A208" s="15">
        <v>4</v>
      </c>
      <c r="B208" t="s">
        <v>395</v>
      </c>
      <c r="C208" t="s">
        <v>349</v>
      </c>
      <c r="D208">
        <v>1116</v>
      </c>
      <c r="E208">
        <v>1053</v>
      </c>
      <c r="F208">
        <v>2169</v>
      </c>
    </row>
    <row r="209" spans="1:6" x14ac:dyDescent="0.25">
      <c r="A209" s="15">
        <v>4</v>
      </c>
      <c r="B209" t="s">
        <v>396</v>
      </c>
      <c r="C209" t="s">
        <v>494</v>
      </c>
      <c r="D209">
        <v>1190</v>
      </c>
      <c r="E209">
        <v>1215</v>
      </c>
      <c r="F209">
        <v>2405</v>
      </c>
    </row>
    <row r="210" spans="1:6" x14ac:dyDescent="0.25">
      <c r="A210" s="15">
        <v>4</v>
      </c>
      <c r="B210" t="s">
        <v>397</v>
      </c>
      <c r="C210" t="s">
        <v>495</v>
      </c>
      <c r="D210">
        <v>997</v>
      </c>
      <c r="E210">
        <v>894</v>
      </c>
      <c r="F210">
        <v>1891</v>
      </c>
    </row>
    <row r="211" spans="1:6" x14ac:dyDescent="0.25">
      <c r="A211" s="15">
        <v>4</v>
      </c>
      <c r="B211" t="s">
        <v>398</v>
      </c>
      <c r="C211" t="s">
        <v>496</v>
      </c>
      <c r="D211">
        <v>1048</v>
      </c>
      <c r="E211">
        <v>991</v>
      </c>
      <c r="F211">
        <v>2039</v>
      </c>
    </row>
    <row r="212" spans="1:6" x14ac:dyDescent="0.25">
      <c r="A212" s="15">
        <v>4</v>
      </c>
      <c r="B212" t="s">
        <v>399</v>
      </c>
      <c r="C212" t="s">
        <v>497</v>
      </c>
      <c r="D212">
        <v>1221</v>
      </c>
      <c r="E212">
        <v>1149</v>
      </c>
      <c r="F212">
        <v>2370</v>
      </c>
    </row>
    <row r="213" spans="1:6" x14ac:dyDescent="0.25">
      <c r="A213" s="15">
        <v>4</v>
      </c>
      <c r="B213" t="s">
        <v>400</v>
      </c>
      <c r="C213" t="s">
        <v>498</v>
      </c>
      <c r="D213">
        <v>1528</v>
      </c>
      <c r="E213">
        <v>1392</v>
      </c>
      <c r="F213">
        <v>2920</v>
      </c>
    </row>
    <row r="214" spans="1:6" x14ac:dyDescent="0.25">
      <c r="A214" s="15">
        <v>4</v>
      </c>
      <c r="B214" t="s">
        <v>401</v>
      </c>
      <c r="C214" t="s">
        <v>499</v>
      </c>
      <c r="D214">
        <v>1191</v>
      </c>
      <c r="E214">
        <v>1157</v>
      </c>
      <c r="F214">
        <v>2348</v>
      </c>
    </row>
    <row r="215" spans="1:6" x14ac:dyDescent="0.25">
      <c r="A215" s="15">
        <v>4</v>
      </c>
      <c r="B215" t="s">
        <v>402</v>
      </c>
      <c r="C215" t="s">
        <v>489</v>
      </c>
      <c r="D215">
        <v>2567</v>
      </c>
      <c r="E215">
        <v>2545</v>
      </c>
      <c r="F215">
        <v>5112</v>
      </c>
    </row>
    <row r="216" spans="1:6" x14ac:dyDescent="0.25">
      <c r="A216" s="15">
        <v>4</v>
      </c>
      <c r="B216" t="s">
        <v>403</v>
      </c>
      <c r="C216" t="s">
        <v>500</v>
      </c>
      <c r="D216">
        <v>1100</v>
      </c>
      <c r="E216">
        <v>1096</v>
      </c>
      <c r="F216">
        <v>2196</v>
      </c>
    </row>
    <row r="217" spans="1:6" x14ac:dyDescent="0.25">
      <c r="A217" s="15">
        <v>4</v>
      </c>
      <c r="B217" t="s">
        <v>404</v>
      </c>
      <c r="C217" t="s">
        <v>501</v>
      </c>
      <c r="D217">
        <v>1678</v>
      </c>
      <c r="E217">
        <v>1599</v>
      </c>
      <c r="F217">
        <v>3277</v>
      </c>
    </row>
    <row r="218" spans="1:6" x14ac:dyDescent="0.25">
      <c r="A218" s="15">
        <v>4</v>
      </c>
      <c r="B218" t="s">
        <v>405</v>
      </c>
      <c r="C218" t="s">
        <v>502</v>
      </c>
      <c r="D218">
        <v>1930</v>
      </c>
      <c r="E218">
        <v>1841</v>
      </c>
      <c r="F218">
        <v>3771</v>
      </c>
    </row>
    <row r="219" spans="1:6" x14ac:dyDescent="0.25">
      <c r="A219" s="15">
        <v>4</v>
      </c>
      <c r="B219" t="s">
        <v>406</v>
      </c>
      <c r="C219" t="s">
        <v>503</v>
      </c>
      <c r="D219">
        <v>1021</v>
      </c>
      <c r="E219">
        <v>965</v>
      </c>
      <c r="F219">
        <v>1986</v>
      </c>
    </row>
    <row r="220" spans="1:6" x14ac:dyDescent="0.25">
      <c r="A220" s="15">
        <v>3</v>
      </c>
      <c r="B220" t="s">
        <v>407</v>
      </c>
      <c r="C220" t="s">
        <v>504</v>
      </c>
      <c r="D220">
        <v>24278</v>
      </c>
      <c r="E220">
        <v>22552</v>
      </c>
      <c r="F220">
        <v>46830</v>
      </c>
    </row>
    <row r="221" spans="1:6" x14ac:dyDescent="0.25">
      <c r="A221" s="15">
        <v>4</v>
      </c>
      <c r="B221" t="s">
        <v>408</v>
      </c>
      <c r="C221" t="s">
        <v>327</v>
      </c>
      <c r="D221">
        <v>650</v>
      </c>
      <c r="E221">
        <v>614</v>
      </c>
      <c r="F221">
        <v>1264</v>
      </c>
    </row>
    <row r="222" spans="1:6" x14ac:dyDescent="0.25">
      <c r="A222" s="15">
        <v>4</v>
      </c>
      <c r="B222" t="s">
        <v>409</v>
      </c>
      <c r="C222" t="s">
        <v>365</v>
      </c>
      <c r="D222">
        <v>1604</v>
      </c>
      <c r="E222">
        <v>1490</v>
      </c>
      <c r="F222">
        <v>3094</v>
      </c>
    </row>
    <row r="223" spans="1:6" x14ac:dyDescent="0.25">
      <c r="A223" s="15">
        <v>4</v>
      </c>
      <c r="B223" t="s">
        <v>410</v>
      </c>
      <c r="C223" t="s">
        <v>505</v>
      </c>
      <c r="D223">
        <v>993</v>
      </c>
      <c r="E223">
        <v>903</v>
      </c>
      <c r="F223">
        <v>1896</v>
      </c>
    </row>
    <row r="224" spans="1:6" x14ac:dyDescent="0.25">
      <c r="A224" s="15">
        <v>4</v>
      </c>
      <c r="B224" t="s">
        <v>411</v>
      </c>
      <c r="C224" t="s">
        <v>506</v>
      </c>
      <c r="D224">
        <v>1735</v>
      </c>
      <c r="E224">
        <v>1575</v>
      </c>
      <c r="F224">
        <v>3310</v>
      </c>
    </row>
    <row r="225" spans="1:6" x14ac:dyDescent="0.25">
      <c r="A225" s="15">
        <v>4</v>
      </c>
      <c r="B225" t="s">
        <v>412</v>
      </c>
      <c r="C225" t="s">
        <v>507</v>
      </c>
      <c r="D225">
        <v>1577</v>
      </c>
      <c r="E225">
        <v>1465</v>
      </c>
      <c r="F225">
        <v>3042</v>
      </c>
    </row>
    <row r="226" spans="1:6" x14ac:dyDescent="0.25">
      <c r="A226" s="15">
        <v>4</v>
      </c>
      <c r="B226" t="s">
        <v>413</v>
      </c>
      <c r="C226" t="s">
        <v>508</v>
      </c>
      <c r="D226">
        <v>975</v>
      </c>
      <c r="E226">
        <v>965</v>
      </c>
      <c r="F226">
        <v>1940</v>
      </c>
    </row>
    <row r="227" spans="1:6" x14ac:dyDescent="0.25">
      <c r="A227" s="15">
        <v>4</v>
      </c>
      <c r="B227" t="s">
        <v>414</v>
      </c>
      <c r="C227" t="s">
        <v>509</v>
      </c>
      <c r="D227">
        <v>862</v>
      </c>
      <c r="E227">
        <v>800</v>
      </c>
      <c r="F227">
        <v>1662</v>
      </c>
    </row>
    <row r="228" spans="1:6" x14ac:dyDescent="0.25">
      <c r="A228" s="15">
        <v>4</v>
      </c>
      <c r="B228" t="s">
        <v>415</v>
      </c>
      <c r="C228" t="s">
        <v>510</v>
      </c>
      <c r="D228">
        <v>2317</v>
      </c>
      <c r="E228">
        <v>2193</v>
      </c>
      <c r="F228">
        <v>4510</v>
      </c>
    </row>
    <row r="229" spans="1:6" x14ac:dyDescent="0.25">
      <c r="A229" s="15">
        <v>4</v>
      </c>
      <c r="B229" t="s">
        <v>416</v>
      </c>
      <c r="C229" t="s">
        <v>504</v>
      </c>
      <c r="D229">
        <v>2310</v>
      </c>
      <c r="E229">
        <v>2086</v>
      </c>
      <c r="F229">
        <v>4396</v>
      </c>
    </row>
    <row r="230" spans="1:6" x14ac:dyDescent="0.25">
      <c r="A230" s="15">
        <v>4</v>
      </c>
      <c r="B230" t="s">
        <v>417</v>
      </c>
      <c r="C230" t="s">
        <v>511</v>
      </c>
      <c r="D230">
        <v>2241</v>
      </c>
      <c r="E230">
        <v>2046</v>
      </c>
      <c r="F230">
        <v>4287</v>
      </c>
    </row>
    <row r="231" spans="1:6" x14ac:dyDescent="0.25">
      <c r="A231" s="15">
        <v>4</v>
      </c>
      <c r="B231" t="s">
        <v>418</v>
      </c>
      <c r="C231" t="s">
        <v>512</v>
      </c>
      <c r="D231">
        <v>1369</v>
      </c>
      <c r="E231">
        <v>1260</v>
      </c>
      <c r="F231">
        <v>2629</v>
      </c>
    </row>
    <row r="232" spans="1:6" x14ac:dyDescent="0.25">
      <c r="A232" s="15">
        <v>4</v>
      </c>
      <c r="B232" t="s">
        <v>419</v>
      </c>
      <c r="C232" t="s">
        <v>513</v>
      </c>
      <c r="D232">
        <v>1811</v>
      </c>
      <c r="E232">
        <v>1674</v>
      </c>
      <c r="F232">
        <v>3485</v>
      </c>
    </row>
    <row r="233" spans="1:6" x14ac:dyDescent="0.25">
      <c r="A233" s="15">
        <v>4</v>
      </c>
      <c r="B233" t="s">
        <v>420</v>
      </c>
      <c r="C233" t="s">
        <v>514</v>
      </c>
      <c r="D233">
        <v>942</v>
      </c>
      <c r="E233">
        <v>918</v>
      </c>
      <c r="F233">
        <v>1860</v>
      </c>
    </row>
    <row r="234" spans="1:6" x14ac:dyDescent="0.25">
      <c r="A234" s="15">
        <v>4</v>
      </c>
      <c r="B234" t="s">
        <v>421</v>
      </c>
      <c r="C234" t="s">
        <v>336</v>
      </c>
      <c r="D234">
        <v>645</v>
      </c>
      <c r="E234">
        <v>620</v>
      </c>
      <c r="F234">
        <v>1265</v>
      </c>
    </row>
    <row r="235" spans="1:6" x14ac:dyDescent="0.25">
      <c r="A235" s="15">
        <v>4</v>
      </c>
      <c r="B235" t="s">
        <v>422</v>
      </c>
      <c r="C235" t="s">
        <v>515</v>
      </c>
      <c r="D235">
        <v>969</v>
      </c>
      <c r="E235">
        <v>942</v>
      </c>
      <c r="F235">
        <v>1911</v>
      </c>
    </row>
    <row r="236" spans="1:6" x14ac:dyDescent="0.25">
      <c r="A236" s="15">
        <v>4</v>
      </c>
      <c r="B236" t="s">
        <v>423</v>
      </c>
      <c r="C236" t="s">
        <v>516</v>
      </c>
      <c r="D236">
        <v>1715</v>
      </c>
      <c r="E236">
        <v>1578</v>
      </c>
      <c r="F236">
        <v>3293</v>
      </c>
    </row>
    <row r="237" spans="1:6" x14ac:dyDescent="0.25">
      <c r="A237" s="15">
        <v>4</v>
      </c>
      <c r="B237" t="s">
        <v>424</v>
      </c>
      <c r="C237" t="s">
        <v>517</v>
      </c>
      <c r="D237">
        <v>1563</v>
      </c>
      <c r="E237">
        <v>1423</v>
      </c>
      <c r="F237">
        <v>2986</v>
      </c>
    </row>
    <row r="238" spans="1:6" x14ac:dyDescent="0.25">
      <c r="A238" s="15">
        <v>3</v>
      </c>
      <c r="B238" t="s">
        <v>425</v>
      </c>
      <c r="C238" t="s">
        <v>518</v>
      </c>
      <c r="D238">
        <v>22352</v>
      </c>
      <c r="E238">
        <v>21031</v>
      </c>
      <c r="F238">
        <v>43383</v>
      </c>
    </row>
    <row r="239" spans="1:6" x14ac:dyDescent="0.25">
      <c r="A239" s="15">
        <v>4</v>
      </c>
      <c r="B239" t="s">
        <v>426</v>
      </c>
      <c r="C239" t="s">
        <v>518</v>
      </c>
      <c r="D239">
        <v>7133</v>
      </c>
      <c r="E239">
        <v>6702</v>
      </c>
      <c r="F239">
        <v>13835</v>
      </c>
    </row>
    <row r="240" spans="1:6" x14ac:dyDescent="0.25">
      <c r="A240" s="15">
        <v>4</v>
      </c>
      <c r="B240" t="s">
        <v>427</v>
      </c>
      <c r="C240" t="s">
        <v>519</v>
      </c>
      <c r="D240">
        <v>2955</v>
      </c>
      <c r="E240">
        <v>2732</v>
      </c>
      <c r="F240">
        <v>5687</v>
      </c>
    </row>
    <row r="241" spans="1:6" x14ac:dyDescent="0.25">
      <c r="A241" s="15">
        <v>4</v>
      </c>
      <c r="B241" t="s">
        <v>428</v>
      </c>
      <c r="C241" t="s">
        <v>520</v>
      </c>
      <c r="D241">
        <v>1489</v>
      </c>
      <c r="E241">
        <v>1423</v>
      </c>
      <c r="F241">
        <v>2912</v>
      </c>
    </row>
    <row r="242" spans="1:6" x14ac:dyDescent="0.25">
      <c r="A242" s="15">
        <v>4</v>
      </c>
      <c r="B242" t="s">
        <v>429</v>
      </c>
      <c r="C242" t="s">
        <v>521</v>
      </c>
      <c r="D242">
        <v>2755</v>
      </c>
      <c r="E242">
        <v>2677</v>
      </c>
      <c r="F242">
        <v>5432</v>
      </c>
    </row>
    <row r="243" spans="1:6" x14ac:dyDescent="0.25">
      <c r="A243" s="15">
        <v>4</v>
      </c>
      <c r="B243" t="s">
        <v>430</v>
      </c>
      <c r="C243" t="s">
        <v>522</v>
      </c>
      <c r="D243">
        <v>1633</v>
      </c>
      <c r="E243">
        <v>1540</v>
      </c>
      <c r="F243">
        <v>3173</v>
      </c>
    </row>
    <row r="244" spans="1:6" x14ac:dyDescent="0.25">
      <c r="A244" s="15">
        <v>4</v>
      </c>
      <c r="B244" t="s">
        <v>431</v>
      </c>
      <c r="C244" t="s">
        <v>523</v>
      </c>
      <c r="D244">
        <v>1885</v>
      </c>
      <c r="E244">
        <v>1734</v>
      </c>
      <c r="F244">
        <v>3619</v>
      </c>
    </row>
    <row r="245" spans="1:6" x14ac:dyDescent="0.25">
      <c r="A245" s="15">
        <v>4</v>
      </c>
      <c r="B245" t="s">
        <v>432</v>
      </c>
      <c r="C245" t="s">
        <v>278</v>
      </c>
      <c r="D245">
        <v>2360</v>
      </c>
      <c r="E245">
        <v>2235</v>
      </c>
      <c r="F245">
        <v>4595</v>
      </c>
    </row>
    <row r="246" spans="1:6" x14ac:dyDescent="0.25">
      <c r="A246" s="15">
        <v>4</v>
      </c>
      <c r="B246" t="s">
        <v>433</v>
      </c>
      <c r="C246" t="s">
        <v>524</v>
      </c>
      <c r="D246">
        <v>2142</v>
      </c>
      <c r="E246">
        <v>1988</v>
      </c>
      <c r="F246">
        <v>4130</v>
      </c>
    </row>
    <row r="247" spans="1:6" x14ac:dyDescent="0.25">
      <c r="A247" s="15">
        <v>3</v>
      </c>
      <c r="B247" t="s">
        <v>434</v>
      </c>
      <c r="C247" t="s">
        <v>525</v>
      </c>
      <c r="D247">
        <v>27154</v>
      </c>
      <c r="E247">
        <v>25388</v>
      </c>
      <c r="F247">
        <v>52542</v>
      </c>
    </row>
    <row r="248" spans="1:6" x14ac:dyDescent="0.25">
      <c r="A248" s="15">
        <v>4</v>
      </c>
      <c r="B248" t="s">
        <v>435</v>
      </c>
      <c r="C248" t="s">
        <v>278</v>
      </c>
      <c r="D248">
        <v>965</v>
      </c>
      <c r="E248">
        <v>919</v>
      </c>
      <c r="F248">
        <v>1884</v>
      </c>
    </row>
    <row r="249" spans="1:6" x14ac:dyDescent="0.25">
      <c r="A249" s="15">
        <v>4</v>
      </c>
      <c r="B249" t="s">
        <v>436</v>
      </c>
      <c r="C249" t="s">
        <v>526</v>
      </c>
      <c r="D249">
        <v>1038</v>
      </c>
      <c r="E249">
        <v>975</v>
      </c>
      <c r="F249">
        <v>2013</v>
      </c>
    </row>
    <row r="250" spans="1:6" x14ac:dyDescent="0.25">
      <c r="A250" s="15">
        <v>4</v>
      </c>
      <c r="B250" t="s">
        <v>437</v>
      </c>
      <c r="C250" t="s">
        <v>527</v>
      </c>
      <c r="D250">
        <v>1375</v>
      </c>
      <c r="E250">
        <v>1242</v>
      </c>
      <c r="F250">
        <v>2617</v>
      </c>
    </row>
    <row r="251" spans="1:6" x14ac:dyDescent="0.25">
      <c r="A251" s="15">
        <v>4</v>
      </c>
      <c r="B251" t="s">
        <v>438</v>
      </c>
      <c r="C251" t="s">
        <v>528</v>
      </c>
      <c r="D251">
        <v>1979</v>
      </c>
      <c r="E251">
        <v>1748</v>
      </c>
      <c r="F251">
        <v>3727</v>
      </c>
    </row>
    <row r="252" spans="1:6" x14ac:dyDescent="0.25">
      <c r="A252" s="15">
        <v>4</v>
      </c>
      <c r="B252" t="s">
        <v>439</v>
      </c>
      <c r="C252" t="s">
        <v>529</v>
      </c>
      <c r="D252">
        <v>1023</v>
      </c>
      <c r="E252">
        <v>961</v>
      </c>
      <c r="F252">
        <v>1984</v>
      </c>
    </row>
    <row r="253" spans="1:6" x14ac:dyDescent="0.25">
      <c r="A253" s="15">
        <v>4</v>
      </c>
      <c r="B253" t="s">
        <v>440</v>
      </c>
      <c r="C253" t="s">
        <v>312</v>
      </c>
      <c r="D253">
        <v>1071</v>
      </c>
      <c r="E253">
        <v>957</v>
      </c>
      <c r="F253">
        <v>2028</v>
      </c>
    </row>
    <row r="254" spans="1:6" x14ac:dyDescent="0.25">
      <c r="A254" s="15">
        <v>4</v>
      </c>
      <c r="B254" t="s">
        <v>441</v>
      </c>
      <c r="C254" t="s">
        <v>530</v>
      </c>
      <c r="D254">
        <v>2236</v>
      </c>
      <c r="E254">
        <v>1977</v>
      </c>
      <c r="F254">
        <v>4213</v>
      </c>
    </row>
    <row r="255" spans="1:6" x14ac:dyDescent="0.25">
      <c r="A255" s="15">
        <v>4</v>
      </c>
      <c r="B255" t="s">
        <v>442</v>
      </c>
      <c r="C255" t="s">
        <v>203</v>
      </c>
      <c r="D255">
        <v>1314</v>
      </c>
      <c r="E255">
        <v>1237</v>
      </c>
      <c r="F255">
        <v>2551</v>
      </c>
    </row>
    <row r="256" spans="1:6" x14ac:dyDescent="0.25">
      <c r="A256" s="15">
        <v>4</v>
      </c>
      <c r="B256" t="s">
        <v>443</v>
      </c>
      <c r="C256" t="s">
        <v>525</v>
      </c>
      <c r="D256">
        <v>2727</v>
      </c>
      <c r="E256">
        <v>2655</v>
      </c>
      <c r="F256">
        <v>5382</v>
      </c>
    </row>
    <row r="257" spans="1:6" x14ac:dyDescent="0.25">
      <c r="A257" s="15">
        <v>4</v>
      </c>
      <c r="B257" t="s">
        <v>444</v>
      </c>
      <c r="C257" t="s">
        <v>531</v>
      </c>
      <c r="D257">
        <v>1582</v>
      </c>
      <c r="E257">
        <v>1583</v>
      </c>
      <c r="F257">
        <v>3165</v>
      </c>
    </row>
    <row r="258" spans="1:6" x14ac:dyDescent="0.25">
      <c r="A258" s="15">
        <v>4</v>
      </c>
      <c r="B258" t="s">
        <v>445</v>
      </c>
      <c r="C258" t="s">
        <v>532</v>
      </c>
      <c r="D258">
        <v>2044</v>
      </c>
      <c r="E258">
        <v>1877</v>
      </c>
      <c r="F258">
        <v>3921</v>
      </c>
    </row>
    <row r="259" spans="1:6" x14ac:dyDescent="0.25">
      <c r="A259" s="15">
        <v>4</v>
      </c>
      <c r="B259" t="s">
        <v>446</v>
      </c>
      <c r="C259" t="s">
        <v>533</v>
      </c>
      <c r="D259">
        <v>1566</v>
      </c>
      <c r="E259">
        <v>1442</v>
      </c>
      <c r="F259">
        <v>3008</v>
      </c>
    </row>
    <row r="260" spans="1:6" x14ac:dyDescent="0.25">
      <c r="A260" s="15">
        <v>4</v>
      </c>
      <c r="B260" t="s">
        <v>447</v>
      </c>
      <c r="C260" t="s">
        <v>534</v>
      </c>
      <c r="D260">
        <v>2736</v>
      </c>
      <c r="E260">
        <v>2613</v>
      </c>
      <c r="F260">
        <v>5349</v>
      </c>
    </row>
    <row r="261" spans="1:6" x14ac:dyDescent="0.25">
      <c r="A261" s="15">
        <v>4</v>
      </c>
      <c r="B261" t="s">
        <v>448</v>
      </c>
      <c r="C261" t="s">
        <v>535</v>
      </c>
      <c r="D261">
        <v>2738</v>
      </c>
      <c r="E261">
        <v>2582</v>
      </c>
      <c r="F261">
        <v>5320</v>
      </c>
    </row>
    <row r="262" spans="1:6" x14ac:dyDescent="0.25">
      <c r="A262" s="15">
        <v>4</v>
      </c>
      <c r="B262" t="s">
        <v>449</v>
      </c>
      <c r="C262" t="s">
        <v>536</v>
      </c>
      <c r="D262">
        <v>511</v>
      </c>
      <c r="E262">
        <v>497</v>
      </c>
      <c r="F262">
        <v>1008</v>
      </c>
    </row>
    <row r="263" spans="1:6" x14ac:dyDescent="0.25">
      <c r="A263" s="15">
        <v>4</v>
      </c>
      <c r="B263" t="s">
        <v>450</v>
      </c>
      <c r="C263" t="s">
        <v>537</v>
      </c>
      <c r="D263">
        <v>942</v>
      </c>
      <c r="E263">
        <v>905</v>
      </c>
      <c r="F263">
        <v>1847</v>
      </c>
    </row>
    <row r="264" spans="1:6" x14ac:dyDescent="0.25">
      <c r="A264" s="15">
        <v>4</v>
      </c>
      <c r="B264" t="s">
        <v>451</v>
      </c>
      <c r="C264" t="s">
        <v>538</v>
      </c>
      <c r="D264">
        <v>1307</v>
      </c>
      <c r="E264">
        <v>1218</v>
      </c>
      <c r="F264">
        <v>2525</v>
      </c>
    </row>
    <row r="265" spans="1:6" x14ac:dyDescent="0.25">
      <c r="A265" s="15">
        <v>3</v>
      </c>
      <c r="B265" t="s">
        <v>452</v>
      </c>
      <c r="C265" t="s">
        <v>539</v>
      </c>
      <c r="D265">
        <v>25148</v>
      </c>
      <c r="E265">
        <v>24040</v>
      </c>
      <c r="F265">
        <v>49188</v>
      </c>
    </row>
    <row r="266" spans="1:6" x14ac:dyDescent="0.25">
      <c r="A266" s="15">
        <v>4</v>
      </c>
      <c r="B266" t="s">
        <v>453</v>
      </c>
      <c r="C266" t="s">
        <v>539</v>
      </c>
      <c r="D266">
        <v>2619</v>
      </c>
      <c r="E266">
        <v>2526</v>
      </c>
      <c r="F266">
        <v>5145</v>
      </c>
    </row>
    <row r="267" spans="1:6" x14ac:dyDescent="0.25">
      <c r="A267" s="15">
        <v>4</v>
      </c>
      <c r="B267" t="s">
        <v>454</v>
      </c>
      <c r="C267" t="s">
        <v>540</v>
      </c>
      <c r="D267">
        <v>1280</v>
      </c>
      <c r="E267">
        <v>1202</v>
      </c>
      <c r="F267">
        <v>2482</v>
      </c>
    </row>
    <row r="268" spans="1:6" x14ac:dyDescent="0.25">
      <c r="A268" s="15">
        <v>4</v>
      </c>
      <c r="B268" t="s">
        <v>455</v>
      </c>
      <c r="C268" t="s">
        <v>541</v>
      </c>
      <c r="D268">
        <v>1301</v>
      </c>
      <c r="E268">
        <v>1180</v>
      </c>
      <c r="F268">
        <v>2481</v>
      </c>
    </row>
    <row r="269" spans="1:6" x14ac:dyDescent="0.25">
      <c r="A269" s="15">
        <v>4</v>
      </c>
      <c r="B269" t="s">
        <v>456</v>
      </c>
      <c r="C269" t="s">
        <v>542</v>
      </c>
      <c r="D269">
        <v>2349</v>
      </c>
      <c r="E269">
        <v>2252</v>
      </c>
      <c r="F269">
        <v>4601</v>
      </c>
    </row>
    <row r="270" spans="1:6" x14ac:dyDescent="0.25">
      <c r="A270" s="15">
        <v>4</v>
      </c>
      <c r="B270" t="s">
        <v>457</v>
      </c>
      <c r="C270" t="s">
        <v>338</v>
      </c>
      <c r="D270">
        <v>1168</v>
      </c>
      <c r="E270">
        <v>1140</v>
      </c>
      <c r="F270">
        <v>2308</v>
      </c>
    </row>
    <row r="271" spans="1:6" x14ac:dyDescent="0.25">
      <c r="A271" s="15">
        <v>4</v>
      </c>
      <c r="B271" t="s">
        <v>458</v>
      </c>
      <c r="C271" t="s">
        <v>543</v>
      </c>
      <c r="D271">
        <v>2182</v>
      </c>
      <c r="E271">
        <v>2091</v>
      </c>
      <c r="F271">
        <v>4273</v>
      </c>
    </row>
    <row r="272" spans="1:6" x14ac:dyDescent="0.25">
      <c r="A272" s="15">
        <v>4</v>
      </c>
      <c r="B272" t="s">
        <v>459</v>
      </c>
      <c r="C272" t="s">
        <v>544</v>
      </c>
      <c r="D272">
        <v>1111</v>
      </c>
      <c r="E272">
        <v>988</v>
      </c>
      <c r="F272">
        <v>2099</v>
      </c>
    </row>
    <row r="273" spans="1:6" x14ac:dyDescent="0.25">
      <c r="A273" s="15">
        <v>4</v>
      </c>
      <c r="B273" t="s">
        <v>460</v>
      </c>
      <c r="C273" t="s">
        <v>545</v>
      </c>
      <c r="D273">
        <v>1200</v>
      </c>
      <c r="E273">
        <v>1137</v>
      </c>
      <c r="F273">
        <v>2337</v>
      </c>
    </row>
    <row r="274" spans="1:6" x14ac:dyDescent="0.25">
      <c r="A274" s="15">
        <v>4</v>
      </c>
      <c r="B274" t="s">
        <v>461</v>
      </c>
      <c r="C274" t="s">
        <v>546</v>
      </c>
      <c r="D274">
        <v>1774</v>
      </c>
      <c r="E274">
        <v>1709</v>
      </c>
      <c r="F274">
        <v>3483</v>
      </c>
    </row>
    <row r="275" spans="1:6" x14ac:dyDescent="0.25">
      <c r="A275" s="15">
        <v>4</v>
      </c>
      <c r="B275" t="s">
        <v>462</v>
      </c>
      <c r="C275" t="s">
        <v>547</v>
      </c>
      <c r="D275">
        <v>1595</v>
      </c>
      <c r="E275">
        <v>1584</v>
      </c>
      <c r="F275">
        <v>3179</v>
      </c>
    </row>
    <row r="276" spans="1:6" x14ac:dyDescent="0.25">
      <c r="A276" s="15">
        <v>4</v>
      </c>
      <c r="B276" t="s">
        <v>463</v>
      </c>
      <c r="C276" t="s">
        <v>548</v>
      </c>
      <c r="D276">
        <v>1430</v>
      </c>
      <c r="E276">
        <v>1462</v>
      </c>
      <c r="F276">
        <v>2892</v>
      </c>
    </row>
    <row r="277" spans="1:6" x14ac:dyDescent="0.25">
      <c r="A277" s="15">
        <v>4</v>
      </c>
      <c r="B277" t="s">
        <v>464</v>
      </c>
      <c r="C277" t="s">
        <v>549</v>
      </c>
      <c r="D277">
        <v>967</v>
      </c>
      <c r="E277">
        <v>916</v>
      </c>
      <c r="F277">
        <v>1883</v>
      </c>
    </row>
    <row r="278" spans="1:6" x14ac:dyDescent="0.25">
      <c r="A278" s="15">
        <v>4</v>
      </c>
      <c r="B278" t="s">
        <v>465</v>
      </c>
      <c r="C278" t="s">
        <v>550</v>
      </c>
      <c r="D278">
        <v>1108</v>
      </c>
      <c r="E278">
        <v>1065</v>
      </c>
      <c r="F278">
        <v>2173</v>
      </c>
    </row>
    <row r="279" spans="1:6" x14ac:dyDescent="0.25">
      <c r="A279" s="15">
        <v>4</v>
      </c>
      <c r="B279" t="s">
        <v>466</v>
      </c>
      <c r="C279" t="s">
        <v>247</v>
      </c>
      <c r="D279">
        <v>1534</v>
      </c>
      <c r="E279">
        <v>1495</v>
      </c>
      <c r="F279">
        <v>3029</v>
      </c>
    </row>
    <row r="280" spans="1:6" x14ac:dyDescent="0.25">
      <c r="A280" s="15">
        <v>4</v>
      </c>
      <c r="B280" t="s">
        <v>467</v>
      </c>
      <c r="C280" t="s">
        <v>551</v>
      </c>
      <c r="D280">
        <v>2001</v>
      </c>
      <c r="E280">
        <v>1845</v>
      </c>
      <c r="F280">
        <v>3846</v>
      </c>
    </row>
    <row r="281" spans="1:6" x14ac:dyDescent="0.25">
      <c r="A281" s="15">
        <v>4</v>
      </c>
      <c r="B281" t="s">
        <v>468</v>
      </c>
      <c r="C281" t="s">
        <v>552</v>
      </c>
      <c r="D281">
        <v>1529</v>
      </c>
      <c r="E281">
        <v>1448</v>
      </c>
      <c r="F281">
        <v>2977</v>
      </c>
    </row>
    <row r="282" spans="1:6" x14ac:dyDescent="0.25">
      <c r="A282" s="15">
        <v>3</v>
      </c>
      <c r="B282" t="s">
        <v>469</v>
      </c>
      <c r="C282" t="s">
        <v>553</v>
      </c>
      <c r="D282">
        <v>12223</v>
      </c>
      <c r="E282">
        <v>11599</v>
      </c>
      <c r="F282">
        <v>23822</v>
      </c>
    </row>
    <row r="283" spans="1:6" x14ac:dyDescent="0.25">
      <c r="A283" s="15">
        <v>4</v>
      </c>
      <c r="B283" t="s">
        <v>470</v>
      </c>
      <c r="C283" t="s">
        <v>553</v>
      </c>
      <c r="D283">
        <v>1575</v>
      </c>
      <c r="E283">
        <v>1514</v>
      </c>
      <c r="F283">
        <v>3089</v>
      </c>
    </row>
    <row r="284" spans="1:6" x14ac:dyDescent="0.25">
      <c r="A284" s="15">
        <v>4</v>
      </c>
      <c r="B284" t="s">
        <v>471</v>
      </c>
      <c r="C284" t="s">
        <v>554</v>
      </c>
      <c r="D284">
        <v>1017</v>
      </c>
      <c r="E284">
        <v>921</v>
      </c>
      <c r="F284">
        <v>1938</v>
      </c>
    </row>
    <row r="285" spans="1:6" x14ac:dyDescent="0.25">
      <c r="A285" s="15">
        <v>4</v>
      </c>
      <c r="B285" t="s">
        <v>472</v>
      </c>
      <c r="C285" t="s">
        <v>555</v>
      </c>
      <c r="D285">
        <v>1556</v>
      </c>
      <c r="E285">
        <v>1464</v>
      </c>
      <c r="F285">
        <v>3020</v>
      </c>
    </row>
    <row r="286" spans="1:6" x14ac:dyDescent="0.25">
      <c r="A286" s="15">
        <v>4</v>
      </c>
      <c r="B286" t="s">
        <v>473</v>
      </c>
      <c r="C286" t="s">
        <v>556</v>
      </c>
      <c r="D286">
        <v>1183</v>
      </c>
      <c r="E286">
        <v>1159</v>
      </c>
      <c r="F286">
        <v>2342</v>
      </c>
    </row>
    <row r="287" spans="1:6" x14ac:dyDescent="0.25">
      <c r="A287" s="15">
        <v>4</v>
      </c>
      <c r="B287" t="s">
        <v>474</v>
      </c>
      <c r="C287" t="s">
        <v>557</v>
      </c>
      <c r="D287">
        <v>2462</v>
      </c>
      <c r="E287">
        <v>2362</v>
      </c>
      <c r="F287">
        <v>4824</v>
      </c>
    </row>
    <row r="288" spans="1:6" x14ac:dyDescent="0.25">
      <c r="A288" s="15">
        <v>4</v>
      </c>
      <c r="B288" t="s">
        <v>475</v>
      </c>
      <c r="C288" t="s">
        <v>558</v>
      </c>
      <c r="D288">
        <v>1663</v>
      </c>
      <c r="E288">
        <v>1611</v>
      </c>
      <c r="F288">
        <v>3274</v>
      </c>
    </row>
    <row r="289" spans="1:6" x14ac:dyDescent="0.25">
      <c r="A289" s="15">
        <v>4</v>
      </c>
      <c r="B289" t="s">
        <v>476</v>
      </c>
      <c r="C289" t="s">
        <v>292</v>
      </c>
      <c r="D289">
        <v>1331</v>
      </c>
      <c r="E289">
        <v>1229</v>
      </c>
      <c r="F289">
        <v>2560</v>
      </c>
    </row>
    <row r="290" spans="1:6" x14ac:dyDescent="0.25">
      <c r="A290" s="15">
        <v>4</v>
      </c>
      <c r="B290" t="s">
        <v>477</v>
      </c>
      <c r="C290" t="s">
        <v>336</v>
      </c>
      <c r="D290">
        <v>1436</v>
      </c>
      <c r="E290">
        <v>1339</v>
      </c>
      <c r="F290">
        <v>2775</v>
      </c>
    </row>
    <row r="291" spans="1:6" x14ac:dyDescent="0.25">
      <c r="A291" s="15">
        <v>3</v>
      </c>
      <c r="B291" t="s">
        <v>478</v>
      </c>
      <c r="C291" t="s">
        <v>559</v>
      </c>
      <c r="D291">
        <v>22999</v>
      </c>
      <c r="E291">
        <v>21935</v>
      </c>
      <c r="F291">
        <v>44934</v>
      </c>
    </row>
    <row r="292" spans="1:6" x14ac:dyDescent="0.25">
      <c r="A292" s="15">
        <v>4</v>
      </c>
      <c r="B292" t="s">
        <v>479</v>
      </c>
      <c r="C292" t="s">
        <v>559</v>
      </c>
      <c r="D292">
        <v>3485</v>
      </c>
      <c r="E292">
        <v>3352</v>
      </c>
      <c r="F292">
        <v>6837</v>
      </c>
    </row>
    <row r="293" spans="1:6" x14ac:dyDescent="0.25">
      <c r="A293" s="15">
        <v>4</v>
      </c>
      <c r="B293" t="s">
        <v>480</v>
      </c>
      <c r="C293" t="s">
        <v>560</v>
      </c>
      <c r="D293">
        <v>1746</v>
      </c>
      <c r="E293">
        <v>1660</v>
      </c>
      <c r="F293">
        <v>3406</v>
      </c>
    </row>
    <row r="294" spans="1:6" x14ac:dyDescent="0.25">
      <c r="A294" s="15">
        <v>4</v>
      </c>
      <c r="B294" t="s">
        <v>481</v>
      </c>
      <c r="C294" t="s">
        <v>561</v>
      </c>
      <c r="D294">
        <v>3001</v>
      </c>
      <c r="E294">
        <v>2780</v>
      </c>
      <c r="F294">
        <v>5781</v>
      </c>
    </row>
    <row r="295" spans="1:6" x14ac:dyDescent="0.25">
      <c r="A295" s="15">
        <v>4</v>
      </c>
      <c r="B295" t="s">
        <v>482</v>
      </c>
      <c r="C295" t="s">
        <v>562</v>
      </c>
      <c r="D295">
        <v>3315</v>
      </c>
      <c r="E295">
        <v>3126</v>
      </c>
      <c r="F295">
        <v>6441</v>
      </c>
    </row>
    <row r="296" spans="1:6" x14ac:dyDescent="0.25">
      <c r="A296" s="15">
        <v>4</v>
      </c>
      <c r="B296" t="s">
        <v>483</v>
      </c>
      <c r="C296" t="s">
        <v>563</v>
      </c>
      <c r="D296">
        <v>2409</v>
      </c>
      <c r="E296">
        <v>2358</v>
      </c>
      <c r="F296">
        <v>4767</v>
      </c>
    </row>
    <row r="297" spans="1:6" x14ac:dyDescent="0.25">
      <c r="A297" s="15">
        <v>4</v>
      </c>
      <c r="B297" t="s">
        <v>484</v>
      </c>
      <c r="C297" t="s">
        <v>564</v>
      </c>
      <c r="D297">
        <v>1839</v>
      </c>
      <c r="E297">
        <v>1734</v>
      </c>
      <c r="F297">
        <v>3573</v>
      </c>
    </row>
    <row r="298" spans="1:6" x14ac:dyDescent="0.25">
      <c r="A298" s="15">
        <v>4</v>
      </c>
      <c r="B298" t="s">
        <v>485</v>
      </c>
      <c r="C298" t="s">
        <v>565</v>
      </c>
      <c r="D298">
        <v>1593</v>
      </c>
      <c r="E298">
        <v>1486</v>
      </c>
      <c r="F298">
        <v>3079</v>
      </c>
    </row>
    <row r="299" spans="1:6" x14ac:dyDescent="0.25">
      <c r="A299" s="15">
        <v>4</v>
      </c>
      <c r="B299" t="s">
        <v>486</v>
      </c>
      <c r="C299" t="s">
        <v>566</v>
      </c>
      <c r="D299">
        <v>2642</v>
      </c>
      <c r="E299">
        <v>2576</v>
      </c>
      <c r="F299">
        <v>5218</v>
      </c>
    </row>
    <row r="300" spans="1:6" x14ac:dyDescent="0.25">
      <c r="A300" s="15">
        <v>4</v>
      </c>
      <c r="B300" t="s">
        <v>487</v>
      </c>
      <c r="C300" t="s">
        <v>567</v>
      </c>
      <c r="D300">
        <v>2969</v>
      </c>
      <c r="E300">
        <v>2863</v>
      </c>
      <c r="F300">
        <v>5832</v>
      </c>
    </row>
  </sheetData>
  <sheetProtection algorithmName="SHA-512" hashValue="aUInBZR4BlBQnx8dZRHvhCtxQUO5Jvv4/TKJsG8I8RHPpkAzBVO3RhuRDgxMF35GnXpSJ01TPdaZe0fmBiQ9tQ==" saltValue="ZxFUK14wD3SwWDthkwbrAw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I6"/>
  <sheetViews>
    <sheetView workbookViewId="0">
      <selection activeCell="G5" sqref="G5"/>
    </sheetView>
    <sheetView workbookViewId="1">
      <selection sqref="A1:I1"/>
    </sheetView>
  </sheetViews>
  <sheetFormatPr defaultRowHeight="15" x14ac:dyDescent="0.25"/>
  <cols>
    <col min="1" max="1" width="4.5703125" customWidth="1"/>
    <col min="2" max="2" width="6.5703125" customWidth="1"/>
    <col min="3" max="3" width="20.5703125" customWidth="1"/>
    <col min="4" max="4" width="9.7109375" customWidth="1"/>
    <col min="5" max="5" width="8.28515625" style="14" customWidth="1"/>
    <col min="6" max="6" width="9.7109375" customWidth="1"/>
    <col min="7" max="7" width="8.28515625" style="14" customWidth="1"/>
    <col min="8" max="8" width="10.28515625" customWidth="1"/>
    <col min="9" max="9" width="8.28515625" style="14" customWidth="1"/>
  </cols>
  <sheetData>
    <row r="1" spans="1:9" ht="18.75" x14ac:dyDescent="0.25">
      <c r="A1" s="60" t="s">
        <v>568</v>
      </c>
      <c r="B1" s="60"/>
      <c r="C1" s="60"/>
      <c r="D1" s="60"/>
      <c r="E1" s="60"/>
      <c r="F1" s="60"/>
      <c r="G1" s="60"/>
      <c r="H1" s="60"/>
      <c r="I1" s="60"/>
    </row>
    <row r="2" spans="1:9" x14ac:dyDescent="0.25">
      <c r="A2" s="61" t="s">
        <v>569</v>
      </c>
      <c r="B2" s="62"/>
      <c r="C2" s="62"/>
      <c r="D2" s="62"/>
      <c r="E2" s="62"/>
      <c r="F2" s="62"/>
      <c r="G2" s="62"/>
      <c r="H2" s="62"/>
      <c r="I2" s="63"/>
    </row>
    <row r="3" spans="1:9" x14ac:dyDescent="0.25">
      <c r="A3" s="64" t="s">
        <v>570</v>
      </c>
      <c r="B3" s="66" t="s">
        <v>571</v>
      </c>
      <c r="C3" s="67"/>
      <c r="D3" s="68" t="s">
        <v>572</v>
      </c>
      <c r="E3" s="69"/>
      <c r="F3" s="68" t="s">
        <v>573</v>
      </c>
      <c r="G3" s="69"/>
      <c r="H3" s="70" t="s">
        <v>574</v>
      </c>
      <c r="I3" s="71"/>
    </row>
    <row r="4" spans="1:9" x14ac:dyDescent="0.25">
      <c r="A4" s="65"/>
      <c r="B4" s="3" t="s">
        <v>575</v>
      </c>
      <c r="C4" s="3" t="s">
        <v>576</v>
      </c>
      <c r="D4" s="4" t="s">
        <v>574</v>
      </c>
      <c r="E4" s="5" t="s">
        <v>577</v>
      </c>
      <c r="F4" s="4" t="s">
        <v>574</v>
      </c>
      <c r="G4" s="5" t="s">
        <v>577</v>
      </c>
      <c r="H4" s="6" t="s">
        <v>578</v>
      </c>
      <c r="I4" s="7" t="s">
        <v>577</v>
      </c>
    </row>
    <row r="5" spans="1:9" x14ac:dyDescent="0.25">
      <c r="A5" s="8">
        <v>1</v>
      </c>
      <c r="B5" s="9" t="s">
        <v>3</v>
      </c>
      <c r="C5" s="10" t="s">
        <v>276</v>
      </c>
      <c r="D5" s="1">
        <f>'AGR_JK_3304_KAB. BANJARNEGARA'!D2</f>
        <v>545513</v>
      </c>
      <c r="E5" s="49">
        <f>D5/H5*100</f>
        <v>50.888498540547047</v>
      </c>
      <c r="F5" s="2">
        <f>'AGR_JK_3304_KAB. BANJARNEGARA'!E2</f>
        <v>526464</v>
      </c>
      <c r="G5" s="49">
        <f>F5/H5*100</f>
        <v>49.111501459452953</v>
      </c>
      <c r="H5" s="11">
        <f>D5+F5</f>
        <v>1071977</v>
      </c>
      <c r="I5" s="51">
        <f>H5/H5*100</f>
        <v>100</v>
      </c>
    </row>
    <row r="6" spans="1:9" x14ac:dyDescent="0.25">
      <c r="A6" s="57" t="s">
        <v>579</v>
      </c>
      <c r="B6" s="58"/>
      <c r="C6" s="59"/>
      <c r="D6" s="12">
        <f t="shared" ref="D6:I6" si="0">D5</f>
        <v>545513</v>
      </c>
      <c r="E6" s="50">
        <f t="shared" si="0"/>
        <v>50.888498540547047</v>
      </c>
      <c r="F6" s="12">
        <f t="shared" si="0"/>
        <v>526464</v>
      </c>
      <c r="G6" s="50">
        <f t="shared" si="0"/>
        <v>49.111501459452953</v>
      </c>
      <c r="H6" s="13">
        <f t="shared" si="0"/>
        <v>1071977</v>
      </c>
      <c r="I6" s="52">
        <f t="shared" si="0"/>
        <v>100</v>
      </c>
    </row>
  </sheetData>
  <sheetProtection algorithmName="SHA-512" hashValue="4GGbZ32Zmm2DjoMx79iMZbGAwbdFl5USXGDJN7WiW0xG4eIxGth0wAMzqPNPnHPSWNSjdnN27opvy+Vxmm5LEA==" saltValue="fANtChJprsfpUhDqSWX6SQ==" spinCount="100000" sheet="1" objects="1" scenarios="1"/>
  <mergeCells count="8">
    <mergeCell ref="A6:C6"/>
    <mergeCell ref="A1:I1"/>
    <mergeCell ref="A2:I2"/>
    <mergeCell ref="A3:A4"/>
    <mergeCell ref="B3:C3"/>
    <mergeCell ref="D3:E3"/>
    <mergeCell ref="F3:G3"/>
    <mergeCell ref="H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8D1B8-0995-4E14-95B6-E9531D99A21C}">
  <dimension ref="A1:N26"/>
  <sheetViews>
    <sheetView tabSelected="1" topLeftCell="A16" workbookViewId="0">
      <selection activeCell="I6" sqref="I6"/>
    </sheetView>
    <sheetView workbookViewId="1">
      <selection sqref="A1:I1"/>
    </sheetView>
  </sheetViews>
  <sheetFormatPr defaultColWidth="8.85546875" defaultRowHeight="15" x14ac:dyDescent="0.25"/>
  <cols>
    <col min="1" max="1" width="3.42578125" style="16" bestFit="1" customWidth="1"/>
    <col min="2" max="2" width="8.85546875" style="16"/>
    <col min="3" max="3" width="20.140625" style="16" bestFit="1" customWidth="1"/>
    <col min="4" max="7" width="9" style="16" bestFit="1" customWidth="1"/>
    <col min="8" max="8" width="10.140625" style="16" customWidth="1"/>
    <col min="9" max="9" width="9" style="16" bestFit="1" customWidth="1"/>
    <col min="10" max="16384" width="8.85546875" style="16"/>
  </cols>
  <sheetData>
    <row r="1" spans="1:14" x14ac:dyDescent="0.25">
      <c r="A1" s="73" t="s">
        <v>580</v>
      </c>
      <c r="B1" s="73"/>
      <c r="C1" s="73"/>
      <c r="D1" s="73"/>
      <c r="E1" s="73"/>
      <c r="F1" s="73"/>
      <c r="G1" s="73"/>
      <c r="H1" s="73"/>
      <c r="I1" s="73"/>
    </row>
    <row r="2" spans="1:14" x14ac:dyDescent="0.25">
      <c r="A2" s="17"/>
      <c r="B2" s="17"/>
      <c r="C2" s="17"/>
      <c r="D2" s="17"/>
      <c r="E2" s="17"/>
      <c r="F2" s="17"/>
      <c r="G2" s="17"/>
      <c r="H2" s="17"/>
      <c r="I2" s="17"/>
    </row>
    <row r="3" spans="1:14" ht="15" customHeight="1" x14ac:dyDescent="0.25">
      <c r="A3" s="74" t="s">
        <v>581</v>
      </c>
      <c r="B3" s="74"/>
      <c r="C3" s="74"/>
      <c r="D3" s="74"/>
      <c r="E3" s="74"/>
      <c r="F3" s="74"/>
      <c r="G3" s="74"/>
      <c r="H3" s="74"/>
      <c r="I3" s="74"/>
    </row>
    <row r="4" spans="1:14" ht="15" customHeight="1" x14ac:dyDescent="0.25">
      <c r="A4" s="75" t="s">
        <v>570</v>
      </c>
      <c r="B4" s="75" t="s">
        <v>582</v>
      </c>
      <c r="C4" s="75"/>
      <c r="D4" s="76" t="s">
        <v>572</v>
      </c>
      <c r="E4" s="76"/>
      <c r="F4" s="76" t="s">
        <v>573</v>
      </c>
      <c r="G4" s="76"/>
      <c r="H4" s="77" t="s">
        <v>574</v>
      </c>
      <c r="I4" s="77"/>
    </row>
    <row r="5" spans="1:14" ht="15" customHeight="1" x14ac:dyDescent="0.25">
      <c r="A5" s="75"/>
      <c r="B5" s="18" t="s">
        <v>575</v>
      </c>
      <c r="C5" s="18" t="s">
        <v>576</v>
      </c>
      <c r="D5" s="19" t="s">
        <v>574</v>
      </c>
      <c r="E5" s="19" t="s">
        <v>577</v>
      </c>
      <c r="F5" s="19" t="s">
        <v>574</v>
      </c>
      <c r="G5" s="19" t="s">
        <v>577</v>
      </c>
      <c r="H5" s="20" t="s">
        <v>582</v>
      </c>
      <c r="I5" s="20" t="s">
        <v>577</v>
      </c>
    </row>
    <row r="6" spans="1:14" ht="15" customHeight="1" x14ac:dyDescent="0.25">
      <c r="A6" s="21">
        <v>1</v>
      </c>
      <c r="B6" s="21" t="str" cm="1">
        <f t="array" ref="B6:D25">_xlfn._xlws.FILTER('AGR_JK_3304_KAB. BANJARNEGARA'!B3:D300,LEN('AGR_JK_3304_KAB. BANJARNEGARA'!B3:B300)=8)</f>
        <v>33.04.01</v>
      </c>
      <c r="C6" s="16" t="str">
        <v>SUSUKAN</v>
      </c>
      <c r="D6" s="22">
        <v>33181</v>
      </c>
      <c r="E6" s="24" cm="1">
        <f t="array" ref="E6:E25">D6:D25/$H$6:$H$25*100</f>
        <v>50.503036483462957</v>
      </c>
      <c r="F6" s="22" cm="1">
        <f t="array" ref="F6:F25">_xlfn._xlws.FILTER('AGR_JK_3304_KAB. BANJARNEGARA'!E3:E300,LEN('AGR_JK_3304_KAB. BANJARNEGARA'!B3:B300)=8)</f>
        <v>32520</v>
      </c>
      <c r="G6" s="24" cm="1">
        <f t="array" ref="G6:G25">F6:F25/$H$6:$H$25*100</f>
        <v>49.496963516537043</v>
      </c>
      <c r="H6" s="26" cm="1">
        <f t="array" ref="H6:H25">_xlfn._xlws.FILTER('AGR_JK_3304_KAB. BANJARNEGARA'!F3:F300,LEN('AGR_JK_3304_KAB. BANJARNEGARA'!B3:B300)=8)</f>
        <v>65701</v>
      </c>
      <c r="I6" s="55" cm="1">
        <f t="array" ref="I6:I25">H6:H25/$H$6:$H$25*100</f>
        <v>100</v>
      </c>
      <c r="K6" s="27"/>
    </row>
    <row r="7" spans="1:14" ht="15" customHeight="1" x14ac:dyDescent="0.25">
      <c r="A7" s="21">
        <v>2</v>
      </c>
      <c r="B7" s="21" t="str">
        <v>33.04.02</v>
      </c>
      <c r="C7" s="23" t="str">
        <v>PURWOREJA KLAMPOK</v>
      </c>
      <c r="D7" s="22">
        <v>24801</v>
      </c>
      <c r="E7" s="24">
        <v>50.170938441931497</v>
      </c>
      <c r="F7" s="22">
        <v>24632</v>
      </c>
      <c r="G7" s="25">
        <v>49.829061558068503</v>
      </c>
      <c r="H7" s="26">
        <v>49433</v>
      </c>
      <c r="I7" s="54">
        <v>100</v>
      </c>
    </row>
    <row r="8" spans="1:14" ht="15" customHeight="1" x14ac:dyDescent="0.25">
      <c r="A8" s="21">
        <v>3</v>
      </c>
      <c r="B8" s="21" t="str">
        <v>33.04.03</v>
      </c>
      <c r="C8" s="23" t="str">
        <v>MANDIRAJA</v>
      </c>
      <c r="D8" s="22">
        <v>42202</v>
      </c>
      <c r="E8" s="24">
        <v>50.564328676523452</v>
      </c>
      <c r="F8" s="22">
        <v>41260</v>
      </c>
      <c r="G8" s="25">
        <v>49.435671323476555</v>
      </c>
      <c r="H8" s="26">
        <v>83462</v>
      </c>
      <c r="I8" s="54">
        <v>100</v>
      </c>
    </row>
    <row r="9" spans="1:14" ht="15" customHeight="1" x14ac:dyDescent="0.25">
      <c r="A9" s="21">
        <v>4</v>
      </c>
      <c r="B9" s="21" t="str">
        <v>33.04.04</v>
      </c>
      <c r="C9" s="23" t="str">
        <v>PURWANEGARA</v>
      </c>
      <c r="D9" s="22">
        <v>43754</v>
      </c>
      <c r="E9" s="24">
        <v>50.420032496341285</v>
      </c>
      <c r="F9" s="22">
        <v>43025</v>
      </c>
      <c r="G9" s="25">
        <v>49.579967503658715</v>
      </c>
      <c r="H9" s="26">
        <v>86779</v>
      </c>
      <c r="I9" s="54">
        <v>100</v>
      </c>
    </row>
    <row r="10" spans="1:14" ht="15" customHeight="1" x14ac:dyDescent="0.25">
      <c r="A10" s="21">
        <v>5</v>
      </c>
      <c r="B10" s="21" t="str">
        <v>33.04.05</v>
      </c>
      <c r="C10" s="23" t="str">
        <v>BAWANG</v>
      </c>
      <c r="D10" s="22">
        <v>33746</v>
      </c>
      <c r="E10" s="24">
        <v>50.556562645133262</v>
      </c>
      <c r="F10" s="22">
        <v>33003</v>
      </c>
      <c r="G10" s="25">
        <v>49.443437354866738</v>
      </c>
      <c r="H10" s="26">
        <v>66749</v>
      </c>
      <c r="I10" s="54">
        <v>100</v>
      </c>
    </row>
    <row r="11" spans="1:14" ht="15" customHeight="1" x14ac:dyDescent="0.25">
      <c r="A11" s="21">
        <v>6</v>
      </c>
      <c r="B11" s="21" t="str">
        <v>33.04.06</v>
      </c>
      <c r="C11" s="23" t="str">
        <v>BANJARNEGARA</v>
      </c>
      <c r="D11" s="22">
        <v>35986</v>
      </c>
      <c r="E11" s="24">
        <v>50.359651823448736</v>
      </c>
      <c r="F11" s="22">
        <v>35472</v>
      </c>
      <c r="G11" s="25">
        <v>49.640348176551264</v>
      </c>
      <c r="H11" s="26">
        <v>71458</v>
      </c>
      <c r="I11" s="54">
        <v>100</v>
      </c>
    </row>
    <row r="12" spans="1:14" ht="15" customHeight="1" x14ac:dyDescent="0.25">
      <c r="A12" s="21">
        <v>7</v>
      </c>
      <c r="B12" s="21" t="str">
        <v>33.04.07</v>
      </c>
      <c r="C12" s="23" t="str">
        <v>SIGALUH</v>
      </c>
      <c r="D12" s="22">
        <v>16707</v>
      </c>
      <c r="E12" s="24">
        <v>50.46974594447633</v>
      </c>
      <c r="F12" s="22">
        <v>16396</v>
      </c>
      <c r="G12" s="25">
        <v>49.53025405552367</v>
      </c>
      <c r="H12" s="26">
        <v>33103</v>
      </c>
      <c r="I12" s="54">
        <v>100</v>
      </c>
    </row>
    <row r="13" spans="1:14" ht="15" customHeight="1" x14ac:dyDescent="0.25">
      <c r="A13" s="21">
        <v>8</v>
      </c>
      <c r="B13" s="21" t="str">
        <v>33.04.08</v>
      </c>
      <c r="C13" s="23" t="str">
        <v>MADUKARA</v>
      </c>
      <c r="D13" s="22">
        <v>24086</v>
      </c>
      <c r="E13" s="24">
        <v>50.913164792424112</v>
      </c>
      <c r="F13" s="22">
        <v>23222</v>
      </c>
      <c r="G13" s="25">
        <v>49.086835207575888</v>
      </c>
      <c r="H13" s="26">
        <v>47308</v>
      </c>
      <c r="I13" s="54">
        <v>100</v>
      </c>
    </row>
    <row r="14" spans="1:14" ht="15" customHeight="1" x14ac:dyDescent="0.25">
      <c r="A14" s="21">
        <v>9</v>
      </c>
      <c r="B14" s="21" t="str">
        <v>33.04.09</v>
      </c>
      <c r="C14" s="23" t="str">
        <v>BANJARMANGU</v>
      </c>
      <c r="D14" s="22">
        <v>24489</v>
      </c>
      <c r="E14" s="24">
        <v>51.190451305420261</v>
      </c>
      <c r="F14" s="22">
        <v>23350</v>
      </c>
      <c r="G14" s="25">
        <v>48.809548694579732</v>
      </c>
      <c r="H14" s="26">
        <v>47839</v>
      </c>
      <c r="I14" s="54">
        <v>100</v>
      </c>
    </row>
    <row r="15" spans="1:14" ht="15" customHeight="1" x14ac:dyDescent="0.25">
      <c r="A15" s="21">
        <v>10</v>
      </c>
      <c r="B15" s="21" t="str">
        <v>33.04.10</v>
      </c>
      <c r="C15" s="23" t="str">
        <v>WANADADI</v>
      </c>
      <c r="D15" s="22">
        <v>18026</v>
      </c>
      <c r="E15" s="24">
        <v>50.48734035402196</v>
      </c>
      <c r="F15" s="22">
        <v>17678</v>
      </c>
      <c r="G15" s="25">
        <v>49.51265964597804</v>
      </c>
      <c r="H15" s="26">
        <v>35704</v>
      </c>
      <c r="I15" s="54">
        <v>100</v>
      </c>
      <c r="N15" s="16" t="s">
        <v>607</v>
      </c>
    </row>
    <row r="16" spans="1:14" ht="15" customHeight="1" x14ac:dyDescent="0.25">
      <c r="A16" s="21">
        <v>11</v>
      </c>
      <c r="B16" s="21" t="str">
        <v>33.04.11</v>
      </c>
      <c r="C16" s="23" t="str">
        <v>RAKIT</v>
      </c>
      <c r="D16" s="22">
        <v>28786</v>
      </c>
      <c r="E16" s="24">
        <v>50.524800786323588</v>
      </c>
      <c r="F16" s="22">
        <v>28188</v>
      </c>
      <c r="G16" s="25">
        <v>49.475199213676412</v>
      </c>
      <c r="H16" s="26">
        <v>56974</v>
      </c>
      <c r="I16" s="54">
        <v>100</v>
      </c>
    </row>
    <row r="17" spans="1:11" ht="15" customHeight="1" x14ac:dyDescent="0.25">
      <c r="A17" s="21">
        <v>12</v>
      </c>
      <c r="B17" s="21" t="str">
        <v>33.04.12</v>
      </c>
      <c r="C17" s="23" t="str">
        <v>PUNGGELAN</v>
      </c>
      <c r="D17" s="22">
        <v>47634</v>
      </c>
      <c r="E17" s="24">
        <v>51.249663779654632</v>
      </c>
      <c r="F17" s="22">
        <v>45311</v>
      </c>
      <c r="G17" s="25">
        <v>48.750336220345361</v>
      </c>
      <c r="H17" s="26">
        <v>92945</v>
      </c>
      <c r="I17" s="54">
        <v>100</v>
      </c>
    </row>
    <row r="18" spans="1:11" ht="15" customHeight="1" x14ac:dyDescent="0.25">
      <c r="A18" s="21">
        <v>13</v>
      </c>
      <c r="B18" s="21" t="str">
        <v>33.04.13</v>
      </c>
      <c r="C18" s="23" t="str">
        <v>KARANGKOBAR</v>
      </c>
      <c r="D18" s="22">
        <v>17130</v>
      </c>
      <c r="E18" s="24">
        <v>51.636824018809911</v>
      </c>
      <c r="F18" s="22">
        <v>16044</v>
      </c>
      <c r="G18" s="25">
        <v>48.363175981190089</v>
      </c>
      <c r="H18" s="26">
        <v>33174</v>
      </c>
      <c r="I18" s="54">
        <v>100</v>
      </c>
    </row>
    <row r="19" spans="1:11" ht="15" customHeight="1" x14ac:dyDescent="0.25">
      <c r="A19" s="21">
        <v>14</v>
      </c>
      <c r="B19" s="21" t="str">
        <v>33.04.14</v>
      </c>
      <c r="C19" s="23" t="str">
        <v>PAGENTAN</v>
      </c>
      <c r="D19" s="22">
        <v>20831</v>
      </c>
      <c r="E19" s="24">
        <v>51.246033112745707</v>
      </c>
      <c r="F19" s="22">
        <v>19818</v>
      </c>
      <c r="G19" s="25">
        <v>48.753966887254293</v>
      </c>
      <c r="H19" s="26">
        <v>40649</v>
      </c>
      <c r="I19" s="54">
        <v>100</v>
      </c>
    </row>
    <row r="20" spans="1:11" ht="15" customHeight="1" x14ac:dyDescent="0.25">
      <c r="A20" s="21">
        <v>15</v>
      </c>
      <c r="B20" s="21" t="str">
        <v>33.04.15</v>
      </c>
      <c r="C20" s="23" t="str">
        <v>PEJAWARAN</v>
      </c>
      <c r="D20" s="22">
        <v>24278</v>
      </c>
      <c r="E20" s="24">
        <v>51.842835789024136</v>
      </c>
      <c r="F20" s="22">
        <v>22552</v>
      </c>
      <c r="G20" s="25">
        <v>48.157164210975871</v>
      </c>
      <c r="H20" s="26">
        <v>46830</v>
      </c>
      <c r="I20" s="54">
        <v>100</v>
      </c>
    </row>
    <row r="21" spans="1:11" ht="15" customHeight="1" x14ac:dyDescent="0.25">
      <c r="A21" s="21">
        <v>16</v>
      </c>
      <c r="B21" s="21" t="str">
        <v>33.04.16</v>
      </c>
      <c r="C21" s="23" t="str">
        <v>BATUR</v>
      </c>
      <c r="D21" s="22">
        <v>22352</v>
      </c>
      <c r="E21" s="24">
        <v>51.522485766313999</v>
      </c>
      <c r="F21" s="22">
        <v>21031</v>
      </c>
      <c r="G21" s="25">
        <v>48.477514233686009</v>
      </c>
      <c r="H21" s="26">
        <v>43383</v>
      </c>
      <c r="I21" s="54">
        <v>100</v>
      </c>
    </row>
    <row r="22" spans="1:11" ht="15" customHeight="1" x14ac:dyDescent="0.25">
      <c r="A22" s="21">
        <v>17</v>
      </c>
      <c r="B22" s="21" t="str">
        <v>33.04.17</v>
      </c>
      <c r="C22" s="23" t="str">
        <v>WANAYASA</v>
      </c>
      <c r="D22" s="22">
        <v>27154</v>
      </c>
      <c r="E22" s="24">
        <v>51.680560313653835</v>
      </c>
      <c r="F22" s="22">
        <v>25388</v>
      </c>
      <c r="G22" s="25">
        <v>48.319439686346158</v>
      </c>
      <c r="H22" s="26">
        <v>52542</v>
      </c>
      <c r="I22" s="54">
        <v>100</v>
      </c>
    </row>
    <row r="23" spans="1:11" ht="15" customHeight="1" x14ac:dyDescent="0.25">
      <c r="A23" s="21">
        <v>18</v>
      </c>
      <c r="B23" s="21" t="str">
        <v>33.04.18</v>
      </c>
      <c r="C23" s="23" t="str">
        <v>KALIBENING</v>
      </c>
      <c r="D23" s="22">
        <v>25148</v>
      </c>
      <c r="E23" s="24">
        <v>51.126290965276091</v>
      </c>
      <c r="F23" s="22">
        <v>24040</v>
      </c>
      <c r="G23" s="25">
        <v>48.873709034723916</v>
      </c>
      <c r="H23" s="26">
        <v>49188</v>
      </c>
      <c r="I23" s="54">
        <v>100</v>
      </c>
    </row>
    <row r="24" spans="1:11" ht="15" customHeight="1" x14ac:dyDescent="0.25">
      <c r="A24" s="21">
        <v>19</v>
      </c>
      <c r="B24" s="21" t="str">
        <v>33.04.19</v>
      </c>
      <c r="C24" s="23" t="str">
        <v>PANDANARUM</v>
      </c>
      <c r="D24" s="22">
        <v>12223</v>
      </c>
      <c r="E24" s="24">
        <v>51.309713710015949</v>
      </c>
      <c r="F24" s="22">
        <v>11599</v>
      </c>
      <c r="G24" s="25">
        <v>48.690286289984044</v>
      </c>
      <c r="H24" s="26">
        <v>23822</v>
      </c>
      <c r="I24" s="54">
        <v>100</v>
      </c>
    </row>
    <row r="25" spans="1:11" ht="15" customHeight="1" x14ac:dyDescent="0.25">
      <c r="A25" s="21">
        <v>20</v>
      </c>
      <c r="B25" s="21" t="str">
        <v>33.04.20</v>
      </c>
      <c r="C25" s="23" t="str">
        <v>PAGEDONGAN</v>
      </c>
      <c r="D25" s="22">
        <v>22999</v>
      </c>
      <c r="E25" s="24">
        <v>51.183958694974848</v>
      </c>
      <c r="F25" s="22">
        <v>21935</v>
      </c>
      <c r="G25" s="25">
        <v>48.816041305025152</v>
      </c>
      <c r="H25" s="26">
        <v>44934</v>
      </c>
      <c r="I25" s="54">
        <v>100</v>
      </c>
    </row>
    <row r="26" spans="1:11" ht="15" customHeight="1" x14ac:dyDescent="0.25">
      <c r="A26" s="72" t="s">
        <v>579</v>
      </c>
      <c r="B26" s="72"/>
      <c r="C26" s="72"/>
      <c r="D26" s="28">
        <f>SUM(D6:D25)</f>
        <v>545513</v>
      </c>
      <c r="E26" s="29">
        <f>D26/$H$26*100</f>
        <v>50.888498540547047</v>
      </c>
      <c r="F26" s="28">
        <f>SUM(F6:F25)</f>
        <v>526464</v>
      </c>
      <c r="G26" s="29">
        <f>F26/$H$26*100</f>
        <v>49.111501459452953</v>
      </c>
      <c r="H26" s="30">
        <f>SUM(H6:H25)</f>
        <v>1071977</v>
      </c>
      <c r="I26" s="31">
        <f>(D26+F26)/H26*100</f>
        <v>100</v>
      </c>
      <c r="K26" s="27"/>
    </row>
  </sheetData>
  <sheetProtection algorithmName="SHA-512" hashValue="bFTEuQt419149iVMSgJf/Gu3fYrk84+m/oH3neBO2gqezahmhqYYq+RaTtJdY1lBsJV2CrOzs707ix+j1Kvr/A==" saltValue="AetjztxZZ2ZvYTaCnFKewA==" spinCount="100000" sheet="1" objects="1" scenarios="1"/>
  <mergeCells count="8">
    <mergeCell ref="A26:C26"/>
    <mergeCell ref="A1:I1"/>
    <mergeCell ref="A3:I3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C505-B657-4C4A-A8E8-1545E3ABDFD8}">
  <dimension ref="A1:K361"/>
  <sheetViews>
    <sheetView topLeftCell="A343" workbookViewId="0">
      <selection activeCell="M354" sqref="M354"/>
    </sheetView>
    <sheetView tabSelected="1" topLeftCell="A349" workbookViewId="1">
      <selection sqref="A1:I1"/>
    </sheetView>
  </sheetViews>
  <sheetFormatPr defaultColWidth="8.85546875" defaultRowHeight="15" x14ac:dyDescent="0.25"/>
  <cols>
    <col min="1" max="1" width="4.42578125" style="16" customWidth="1"/>
    <col min="2" max="2" width="8.85546875" style="16"/>
    <col min="3" max="3" width="19" style="16" bestFit="1" customWidth="1"/>
    <col min="4" max="16384" width="8.85546875" style="16"/>
  </cols>
  <sheetData>
    <row r="1" spans="1:9" x14ac:dyDescent="0.25">
      <c r="A1" s="73" t="s">
        <v>583</v>
      </c>
      <c r="B1" s="73"/>
      <c r="C1" s="73"/>
      <c r="D1" s="73"/>
      <c r="E1" s="73"/>
      <c r="F1" s="73"/>
      <c r="G1" s="73"/>
      <c r="H1" s="73"/>
      <c r="I1" s="73"/>
    </row>
    <row r="3" spans="1:9" ht="15" customHeight="1" x14ac:dyDescent="0.25">
      <c r="A3" s="86" t="s">
        <v>584</v>
      </c>
      <c r="B3" s="86"/>
      <c r="C3" s="86"/>
      <c r="D3" s="86"/>
      <c r="E3" s="86"/>
      <c r="F3" s="86"/>
      <c r="G3" s="86"/>
      <c r="H3" s="86"/>
      <c r="I3" s="86"/>
    </row>
    <row r="4" spans="1:9" ht="15" customHeight="1" x14ac:dyDescent="0.25">
      <c r="A4" s="83" t="s">
        <v>570</v>
      </c>
      <c r="B4" s="83" t="s">
        <v>585</v>
      </c>
      <c r="C4" s="83"/>
      <c r="D4" s="84" t="s">
        <v>572</v>
      </c>
      <c r="E4" s="84"/>
      <c r="F4" s="84" t="s">
        <v>573</v>
      </c>
      <c r="G4" s="84"/>
      <c r="H4" s="85" t="s">
        <v>574</v>
      </c>
      <c r="I4" s="85"/>
    </row>
    <row r="5" spans="1:9" ht="15" customHeight="1" x14ac:dyDescent="0.25">
      <c r="A5" s="83"/>
      <c r="B5" s="32" t="s">
        <v>575</v>
      </c>
      <c r="C5" s="32" t="s">
        <v>576</v>
      </c>
      <c r="D5" s="33" t="s">
        <v>574</v>
      </c>
      <c r="E5" s="33" t="s">
        <v>577</v>
      </c>
      <c r="F5" s="33" t="s">
        <v>574</v>
      </c>
      <c r="G5" s="33" t="s">
        <v>577</v>
      </c>
      <c r="H5" s="34" t="s">
        <v>586</v>
      </c>
      <c r="I5" s="34" t="s">
        <v>577</v>
      </c>
    </row>
    <row r="6" spans="1:9" ht="15" customHeight="1" x14ac:dyDescent="0.25">
      <c r="A6" s="35">
        <v>1</v>
      </c>
      <c r="B6" s="35" t="str" cm="1">
        <f t="array" ref="B6:B20">RIGHT(_xlfn._xlws.FILTER('AGR_JK_3304_KAB. BANJARNEGARA'!$B$3:$B$300,(LEN('AGR_JK_3304_KAB. BANJARNEGARA'!$B$3:$B$300)=13)*(LEFT('AGR_JK_3304_KAB. BANJARNEGARA'!$B$3:$B$300,8)=MID(A3,13,8))),4)</f>
        <v>2001</v>
      </c>
      <c r="C6" s="36" t="str" cm="1">
        <f t="array" ref="C6:D20">_xlfn._xlws.FILTER('AGR_JK_3304_KAB. BANJARNEGARA'!$C$3:$D$300,(LEN('AGR_JK_3304_KAB. BANJARNEGARA'!$B$3:$B$300)=13)*(LEFT('AGR_JK_3304_KAB. BANJARNEGARA'!$B$3:$B$300,8)=MID(A3,13,8)))</f>
        <v>BERTA</v>
      </c>
      <c r="D6" s="22">
        <v>2068</v>
      </c>
      <c r="E6" s="25" cm="1">
        <f t="array" ref="E6:E20">D6:D20/$H$6:$H$20*100</f>
        <v>51.315136476426801</v>
      </c>
      <c r="F6" s="22" cm="1">
        <f t="array" ref="F6:F20">_xlfn._xlws.FILTER('AGR_JK_3304_KAB. BANJARNEGARA'!$E$3:$E$300,(LEN('AGR_JK_3304_KAB. BANJARNEGARA'!$B$3:$B$300)=13)*(LEFT('AGR_JK_3304_KAB. BANJARNEGARA'!$B$3:$B$300,8)=MID(A3,13,8)))</f>
        <v>1962</v>
      </c>
      <c r="G6" s="25" cm="1">
        <f t="array" ref="G6:G20">F6:F20/$H$6:$H$20*100</f>
        <v>48.684863523573199</v>
      </c>
      <c r="H6" s="26" cm="1">
        <f t="array" ref="H6:H20">_xlfn._xlws.FILTER('AGR_JK_3304_KAB. BANJARNEGARA'!$F$3:$F$300,(LEN('AGR_JK_3304_KAB. BANJARNEGARA'!$B$3:$B$300)=13)*(LEFT('AGR_JK_3304_KAB. BANJARNEGARA'!$B$3:$B$300,8)=MID(A3,13,8)))</f>
        <v>4030</v>
      </c>
      <c r="I6" s="54" cm="1">
        <f t="array" ref="I6:I20">H6:H20/$H$6:$H$20*100</f>
        <v>100</v>
      </c>
    </row>
    <row r="7" spans="1:9" ht="15" customHeight="1" x14ac:dyDescent="0.25">
      <c r="A7" s="35">
        <v>2</v>
      </c>
      <c r="B7" s="35" t="str">
        <v>2002</v>
      </c>
      <c r="C7" s="36" t="str">
        <v>DERIK</v>
      </c>
      <c r="D7" s="22">
        <v>2161</v>
      </c>
      <c r="E7" s="25">
        <v>50.302607076350093</v>
      </c>
      <c r="F7" s="22">
        <v>2135</v>
      </c>
      <c r="G7" s="25">
        <v>49.697392923649907</v>
      </c>
      <c r="H7" s="26">
        <v>4296</v>
      </c>
      <c r="I7" s="54">
        <v>100</v>
      </c>
    </row>
    <row r="8" spans="1:9" ht="15" customHeight="1" x14ac:dyDescent="0.25">
      <c r="A8" s="35">
        <v>3</v>
      </c>
      <c r="B8" s="35" t="str">
        <v>2003</v>
      </c>
      <c r="C8" s="37" t="str">
        <v>GUMELEM WETAN</v>
      </c>
      <c r="D8" s="22">
        <v>5510</v>
      </c>
      <c r="E8" s="25">
        <v>50.90539541759054</v>
      </c>
      <c r="F8" s="22">
        <v>5314</v>
      </c>
      <c r="G8" s="25">
        <v>49.09460458240946</v>
      </c>
      <c r="H8" s="26">
        <v>10824</v>
      </c>
      <c r="I8" s="54">
        <v>100</v>
      </c>
    </row>
    <row r="9" spans="1:9" ht="15" customHeight="1" x14ac:dyDescent="0.25">
      <c r="A9" s="35">
        <v>4</v>
      </c>
      <c r="B9" s="35" t="str">
        <v>2004</v>
      </c>
      <c r="C9" s="36" t="str">
        <v>GUMELEM KULON</v>
      </c>
      <c r="D9" s="22">
        <v>5526</v>
      </c>
      <c r="E9" s="25">
        <v>50.581235697940507</v>
      </c>
      <c r="F9" s="22">
        <v>5399</v>
      </c>
      <c r="G9" s="25">
        <v>49.4187643020595</v>
      </c>
      <c r="H9" s="26">
        <v>10925</v>
      </c>
      <c r="I9" s="54">
        <v>100</v>
      </c>
    </row>
    <row r="10" spans="1:9" ht="15" customHeight="1" x14ac:dyDescent="0.25">
      <c r="A10" s="35">
        <v>5</v>
      </c>
      <c r="B10" s="35" t="str">
        <v>2005</v>
      </c>
      <c r="C10" s="37" t="str">
        <v>PENARUSAN WETAN</v>
      </c>
      <c r="D10" s="22">
        <v>1480</v>
      </c>
      <c r="E10" s="25">
        <v>50.067658998646827</v>
      </c>
      <c r="F10" s="22">
        <v>1476</v>
      </c>
      <c r="G10" s="25">
        <v>49.93234100135318</v>
      </c>
      <c r="H10" s="26">
        <v>2956</v>
      </c>
      <c r="I10" s="54">
        <v>100</v>
      </c>
    </row>
    <row r="11" spans="1:9" ht="15" customHeight="1" x14ac:dyDescent="0.25">
      <c r="A11" s="35">
        <v>6</v>
      </c>
      <c r="B11" s="35" t="str">
        <v>2006</v>
      </c>
      <c r="C11" s="37" t="str">
        <v>PENARUSAN KULON</v>
      </c>
      <c r="D11" s="22">
        <v>1358</v>
      </c>
      <c r="E11" s="25">
        <v>49.85315712187959</v>
      </c>
      <c r="F11" s="22">
        <v>1366</v>
      </c>
      <c r="G11" s="25">
        <v>50.14684287812041</v>
      </c>
      <c r="H11" s="26">
        <v>2724</v>
      </c>
      <c r="I11" s="54">
        <v>100</v>
      </c>
    </row>
    <row r="12" spans="1:9" ht="15" customHeight="1" x14ac:dyDescent="0.25">
      <c r="A12" s="35">
        <v>7</v>
      </c>
      <c r="B12" s="35" t="str">
        <v>2007</v>
      </c>
      <c r="C12" s="36" t="str">
        <v>BRENGKOK</v>
      </c>
      <c r="D12" s="22">
        <v>1480</v>
      </c>
      <c r="E12" s="25">
        <v>51.24653739612188</v>
      </c>
      <c r="F12" s="22">
        <v>1408</v>
      </c>
      <c r="G12" s="25">
        <v>48.75346260387812</v>
      </c>
      <c r="H12" s="26">
        <v>2888</v>
      </c>
      <c r="I12" s="54">
        <v>100</v>
      </c>
    </row>
    <row r="13" spans="1:9" ht="15" customHeight="1" x14ac:dyDescent="0.25">
      <c r="A13" s="35">
        <v>8</v>
      </c>
      <c r="B13" s="35" t="str">
        <v>2008</v>
      </c>
      <c r="C13" s="36" t="str">
        <v>PEKIKIRAN</v>
      </c>
      <c r="D13" s="22">
        <v>1460</v>
      </c>
      <c r="E13" s="25">
        <v>51.336146272855132</v>
      </c>
      <c r="F13" s="22">
        <v>1384</v>
      </c>
      <c r="G13" s="25">
        <v>48.663853727144868</v>
      </c>
      <c r="H13" s="26">
        <v>2844</v>
      </c>
      <c r="I13" s="54">
        <v>100</v>
      </c>
    </row>
    <row r="14" spans="1:9" ht="15" customHeight="1" x14ac:dyDescent="0.25">
      <c r="A14" s="35">
        <v>9</v>
      </c>
      <c r="B14" s="35" t="str">
        <v>2009</v>
      </c>
      <c r="C14" s="36" t="str">
        <v>PIASA WETAN</v>
      </c>
      <c r="D14" s="38">
        <v>649</v>
      </c>
      <c r="E14" s="25">
        <v>49.092284417549173</v>
      </c>
      <c r="F14" s="38">
        <v>673</v>
      </c>
      <c r="G14" s="25">
        <v>50.907715582450827</v>
      </c>
      <c r="H14" s="26">
        <v>1322</v>
      </c>
      <c r="I14" s="54">
        <v>100</v>
      </c>
    </row>
    <row r="15" spans="1:9" ht="15" customHeight="1" x14ac:dyDescent="0.25">
      <c r="A15" s="35">
        <v>10</v>
      </c>
      <c r="B15" s="35" t="str">
        <v>2010</v>
      </c>
      <c r="C15" s="36" t="str">
        <v>KARANGSALAM</v>
      </c>
      <c r="D15" s="22">
        <v>1416</v>
      </c>
      <c r="E15" s="25">
        <v>48.878149810148429</v>
      </c>
      <c r="F15" s="22">
        <v>1481</v>
      </c>
      <c r="G15" s="25">
        <v>51.121850189851571</v>
      </c>
      <c r="H15" s="26">
        <v>2897</v>
      </c>
      <c r="I15" s="54">
        <v>100</v>
      </c>
    </row>
    <row r="16" spans="1:9" ht="15" customHeight="1" x14ac:dyDescent="0.25">
      <c r="A16" s="35">
        <v>11</v>
      </c>
      <c r="B16" s="35" t="str">
        <v>2011</v>
      </c>
      <c r="C16" s="36" t="str">
        <v>KEMRANGGON</v>
      </c>
      <c r="D16" s="22">
        <v>1779</v>
      </c>
      <c r="E16" s="25">
        <v>50</v>
      </c>
      <c r="F16" s="22">
        <v>1779</v>
      </c>
      <c r="G16" s="25">
        <v>50</v>
      </c>
      <c r="H16" s="26">
        <v>3558</v>
      </c>
      <c r="I16" s="54">
        <v>100</v>
      </c>
    </row>
    <row r="17" spans="1:9" ht="15" customHeight="1" x14ac:dyDescent="0.25">
      <c r="A17" s="35">
        <v>12</v>
      </c>
      <c r="B17" s="35" t="str">
        <v>2012</v>
      </c>
      <c r="C17" s="36" t="str">
        <v>SUSUKAN</v>
      </c>
      <c r="D17" s="22">
        <v>2077</v>
      </c>
      <c r="E17" s="25">
        <v>51.4873574615766</v>
      </c>
      <c r="F17" s="22">
        <v>1957</v>
      </c>
      <c r="G17" s="25">
        <v>48.5126425384234</v>
      </c>
      <c r="H17" s="26">
        <v>4034</v>
      </c>
      <c r="I17" s="54">
        <v>100</v>
      </c>
    </row>
    <row r="18" spans="1:9" ht="15" customHeight="1" x14ac:dyDescent="0.25">
      <c r="A18" s="35">
        <v>13</v>
      </c>
      <c r="B18" s="35" t="str">
        <v>2013</v>
      </c>
      <c r="C18" s="36" t="str">
        <v>DERMASARI</v>
      </c>
      <c r="D18" s="22">
        <v>1485</v>
      </c>
      <c r="E18" s="25">
        <v>49.549549549549546</v>
      </c>
      <c r="F18" s="22">
        <v>1512</v>
      </c>
      <c r="G18" s="25">
        <v>50.450450450450447</v>
      </c>
      <c r="H18" s="26">
        <v>2997</v>
      </c>
      <c r="I18" s="54">
        <v>100</v>
      </c>
    </row>
    <row r="19" spans="1:9" ht="15" customHeight="1" x14ac:dyDescent="0.25">
      <c r="A19" s="35">
        <v>14</v>
      </c>
      <c r="B19" s="35" t="str">
        <v>2014</v>
      </c>
      <c r="C19" s="36" t="str">
        <v>KEDAWUNG</v>
      </c>
      <c r="D19" s="22">
        <v>2264</v>
      </c>
      <c r="E19" s="25">
        <v>50.479375696767001</v>
      </c>
      <c r="F19" s="22">
        <v>2221</v>
      </c>
      <c r="G19" s="25">
        <v>49.520624303232999</v>
      </c>
      <c r="H19" s="26">
        <v>4485</v>
      </c>
      <c r="I19" s="54">
        <v>100</v>
      </c>
    </row>
    <row r="20" spans="1:9" ht="15" customHeight="1" x14ac:dyDescent="0.25">
      <c r="A20" s="35">
        <v>15</v>
      </c>
      <c r="B20" s="35" t="str">
        <v>2015</v>
      </c>
      <c r="C20" s="36" t="str">
        <v>KARANGJATI</v>
      </c>
      <c r="D20" s="22">
        <v>2468</v>
      </c>
      <c r="E20" s="25">
        <v>50.152408047144888</v>
      </c>
      <c r="F20" s="22">
        <v>2453</v>
      </c>
      <c r="G20" s="25">
        <v>49.847591952855112</v>
      </c>
      <c r="H20" s="26">
        <v>4921</v>
      </c>
      <c r="I20" s="54">
        <v>100</v>
      </c>
    </row>
    <row r="21" spans="1:9" ht="15" customHeight="1" x14ac:dyDescent="0.25">
      <c r="A21" s="78" t="s">
        <v>574</v>
      </c>
      <c r="B21" s="78"/>
      <c r="C21" s="78"/>
      <c r="D21" s="39">
        <f>SUM(D6:D20)</f>
        <v>33181</v>
      </c>
      <c r="E21" s="40">
        <f>D21/$H$21*100</f>
        <v>50.503036483462957</v>
      </c>
      <c r="F21" s="39">
        <f>SUM(F6:F20)</f>
        <v>32520</v>
      </c>
      <c r="G21" s="40">
        <f>F21/$H$21*100</f>
        <v>49.496963516537043</v>
      </c>
      <c r="H21" s="39">
        <f>SUM(H6:H20)</f>
        <v>65701</v>
      </c>
      <c r="I21" s="41">
        <f>H21/$H$21*100</f>
        <v>100</v>
      </c>
    </row>
    <row r="22" spans="1:9" ht="15" customHeight="1" x14ac:dyDescent="0.25">
      <c r="A22" s="86" t="s">
        <v>587</v>
      </c>
      <c r="B22" s="86"/>
      <c r="C22" s="86"/>
      <c r="D22" s="86"/>
      <c r="E22" s="86"/>
      <c r="F22" s="86"/>
      <c r="G22" s="86"/>
      <c r="H22" s="86"/>
      <c r="I22" s="86"/>
    </row>
    <row r="23" spans="1:9" ht="15" customHeight="1" x14ac:dyDescent="0.25">
      <c r="A23" s="83" t="s">
        <v>570</v>
      </c>
      <c r="B23" s="83" t="s">
        <v>585</v>
      </c>
      <c r="C23" s="83"/>
      <c r="D23" s="84" t="s">
        <v>572</v>
      </c>
      <c r="E23" s="84"/>
      <c r="F23" s="84" t="s">
        <v>573</v>
      </c>
      <c r="G23" s="84"/>
      <c r="H23" s="85" t="s">
        <v>574</v>
      </c>
      <c r="I23" s="85"/>
    </row>
    <row r="24" spans="1:9" ht="15" customHeight="1" x14ac:dyDescent="0.25">
      <c r="A24" s="83"/>
      <c r="B24" s="32" t="s">
        <v>575</v>
      </c>
      <c r="C24" s="32" t="s">
        <v>576</v>
      </c>
      <c r="D24" s="33" t="s">
        <v>574</v>
      </c>
      <c r="E24" s="33" t="s">
        <v>577</v>
      </c>
      <c r="F24" s="33" t="s">
        <v>574</v>
      </c>
      <c r="G24" s="33" t="s">
        <v>577</v>
      </c>
      <c r="H24" s="34" t="s">
        <v>586</v>
      </c>
      <c r="I24" s="34" t="s">
        <v>577</v>
      </c>
    </row>
    <row r="25" spans="1:9" ht="15" customHeight="1" x14ac:dyDescent="0.25">
      <c r="A25" s="35">
        <v>16</v>
      </c>
      <c r="B25" s="35" t="str" cm="1">
        <f t="array" ref="B25:B32">RIGHT(_xlfn._xlws.FILTER('AGR_JK_3304_KAB. BANJARNEGARA'!$B$3:$B$300,(LEN('AGR_JK_3304_KAB. BANJARNEGARA'!$B$3:$B$300)=13)*(LEFT('AGR_JK_3304_KAB. BANJARNEGARA'!$B$3:$B$300,8)=MID(A22,13,8))),4)</f>
        <v>2001</v>
      </c>
      <c r="C25" s="36" t="str" cm="1">
        <f t="array" ref="C25:D32">_xlfn._xlws.FILTER('AGR_JK_3304_KAB. BANJARNEGARA'!$C$3:$D$300,(LEN('AGR_JK_3304_KAB. BANJARNEGARA'!$B$3:$B$300)=13)*(LEFT('AGR_JK_3304_KAB. BANJARNEGARA'!$B$3:$B$300,8)=MID(A22,13,8)))</f>
        <v>SIRKANDI</v>
      </c>
      <c r="D25" s="22">
        <v>3931</v>
      </c>
      <c r="E25" s="25" cm="1">
        <f t="array" ref="E25:E32">D25:D32/$H$25:$H$32*100</f>
        <v>50.012722646310436</v>
      </c>
      <c r="F25" s="22" cm="1">
        <f t="array" ref="F25:F32">_xlfn._xlws.FILTER('AGR_JK_3304_KAB. BANJARNEGARA'!$E$3:$E$300,(LEN('AGR_JK_3304_KAB. BANJARNEGARA'!$B$3:$B$300)=13)*(LEFT('AGR_JK_3304_KAB. BANJARNEGARA'!$B$3:$B$300,8)=MID(A22,13,8)))</f>
        <v>3929</v>
      </c>
      <c r="G25" s="25" cm="1">
        <f t="array" ref="G25:G32">F25:F32/$H$25:$H$32*100</f>
        <v>49.987277353689571</v>
      </c>
      <c r="H25" s="26" cm="1">
        <f t="array" ref="H25:H32">_xlfn._xlws.FILTER('AGR_JK_3304_KAB. BANJARNEGARA'!$F$3:$F$300,(LEN('AGR_JK_3304_KAB. BANJARNEGARA'!$B$3:$B$300)=13)*(LEFT('AGR_JK_3304_KAB. BANJARNEGARA'!$B$3:$B$300,8)=MID(A22,13,8)))</f>
        <v>7860</v>
      </c>
      <c r="I25" s="54" cm="1">
        <f t="array" ref="I25:I32">H25:H32/$H$25:$H$32*100</f>
        <v>100</v>
      </c>
    </row>
    <row r="26" spans="1:9" ht="15" customHeight="1" x14ac:dyDescent="0.25">
      <c r="A26" s="35">
        <v>17</v>
      </c>
      <c r="B26" s="35" t="str">
        <v>2002</v>
      </c>
      <c r="C26" s="36" t="str">
        <v>PAGAK</v>
      </c>
      <c r="D26" s="22">
        <v>1825</v>
      </c>
      <c r="E26" s="25">
        <v>49.986305121884413</v>
      </c>
      <c r="F26" s="22">
        <v>1826</v>
      </c>
      <c r="G26" s="25">
        <v>50.013694878115587</v>
      </c>
      <c r="H26" s="26">
        <v>3651</v>
      </c>
      <c r="I26" s="54">
        <v>100</v>
      </c>
    </row>
    <row r="27" spans="1:9" ht="15" customHeight="1" x14ac:dyDescent="0.25">
      <c r="A27" s="35">
        <v>18</v>
      </c>
      <c r="B27" s="35" t="str">
        <v>2003</v>
      </c>
      <c r="C27" s="36" t="str">
        <v>KECITRAN</v>
      </c>
      <c r="D27" s="22">
        <v>3110</v>
      </c>
      <c r="E27" s="25">
        <v>49.69638862256312</v>
      </c>
      <c r="F27" s="22">
        <v>3148</v>
      </c>
      <c r="G27" s="25">
        <v>50.303611377436887</v>
      </c>
      <c r="H27" s="26">
        <v>6258</v>
      </c>
      <c r="I27" s="54">
        <v>100</v>
      </c>
    </row>
    <row r="28" spans="1:9" ht="15" customHeight="1" x14ac:dyDescent="0.25">
      <c r="A28" s="35">
        <v>19</v>
      </c>
      <c r="B28" s="35" t="str">
        <v>2004</v>
      </c>
      <c r="C28" s="36" t="str">
        <v>PURWAREJA</v>
      </c>
      <c r="D28" s="22">
        <v>4575</v>
      </c>
      <c r="E28" s="25">
        <v>50.396563119629874</v>
      </c>
      <c r="F28" s="22">
        <v>4503</v>
      </c>
      <c r="G28" s="25">
        <v>49.603436880370126</v>
      </c>
      <c r="H28" s="26">
        <v>9078</v>
      </c>
      <c r="I28" s="54">
        <v>100</v>
      </c>
    </row>
    <row r="29" spans="1:9" ht="15" customHeight="1" x14ac:dyDescent="0.25">
      <c r="A29" s="35">
        <v>20</v>
      </c>
      <c r="B29" s="35" t="str">
        <v>2005</v>
      </c>
      <c r="C29" s="36" t="str">
        <v>KLAMPOK</v>
      </c>
      <c r="D29" s="22">
        <v>3606</v>
      </c>
      <c r="E29" s="25">
        <v>49.751655629139073</v>
      </c>
      <c r="F29" s="22">
        <v>3642</v>
      </c>
      <c r="G29" s="25">
        <v>50.248344370860934</v>
      </c>
      <c r="H29" s="26">
        <v>7248</v>
      </c>
      <c r="I29" s="54">
        <v>100</v>
      </c>
    </row>
    <row r="30" spans="1:9" ht="15" customHeight="1" x14ac:dyDescent="0.25">
      <c r="A30" s="35">
        <v>21</v>
      </c>
      <c r="B30" s="35" t="str">
        <v>2006</v>
      </c>
      <c r="C30" s="36" t="str">
        <v>KALILANDAK</v>
      </c>
      <c r="D30" s="22">
        <v>1814</v>
      </c>
      <c r="E30" s="25">
        <v>49.986222099751998</v>
      </c>
      <c r="F30" s="22">
        <v>1815</v>
      </c>
      <c r="G30" s="25">
        <v>50.013777900248002</v>
      </c>
      <c r="H30" s="26">
        <v>3629</v>
      </c>
      <c r="I30" s="54">
        <v>100</v>
      </c>
    </row>
    <row r="31" spans="1:9" ht="15" customHeight="1" x14ac:dyDescent="0.25">
      <c r="A31" s="35">
        <v>22</v>
      </c>
      <c r="B31" s="35" t="str">
        <v>2007</v>
      </c>
      <c r="C31" s="36" t="str">
        <v>KALIMANDI</v>
      </c>
      <c r="D31" s="22">
        <v>3328</v>
      </c>
      <c r="E31" s="25">
        <v>51.231527093596064</v>
      </c>
      <c r="F31" s="22">
        <v>3168</v>
      </c>
      <c r="G31" s="25">
        <v>48.768472906403943</v>
      </c>
      <c r="H31" s="26">
        <v>6496</v>
      </c>
      <c r="I31" s="54">
        <v>100</v>
      </c>
    </row>
    <row r="32" spans="1:9" ht="15" customHeight="1" x14ac:dyDescent="0.25">
      <c r="A32" s="35">
        <v>23</v>
      </c>
      <c r="B32" s="35" t="str">
        <v>2008</v>
      </c>
      <c r="C32" s="36" t="str">
        <v>KALIWINASUH</v>
      </c>
      <c r="D32" s="22">
        <v>2612</v>
      </c>
      <c r="E32" s="25">
        <v>50.105505467101473</v>
      </c>
      <c r="F32" s="22">
        <v>2601</v>
      </c>
      <c r="G32" s="25">
        <v>49.894494532898527</v>
      </c>
      <c r="H32" s="26">
        <v>5213</v>
      </c>
      <c r="I32" s="54">
        <v>100</v>
      </c>
    </row>
    <row r="33" spans="1:10" ht="15" customHeight="1" x14ac:dyDescent="0.25">
      <c r="A33" s="78" t="s">
        <v>574</v>
      </c>
      <c r="B33" s="78"/>
      <c r="C33" s="78"/>
      <c r="D33" s="39">
        <f>SUM(D25:D32)</f>
        <v>24801</v>
      </c>
      <c r="E33" s="40">
        <f>D33/$H$33*100</f>
        <v>50.170938441931497</v>
      </c>
      <c r="F33" s="39">
        <f>SUM(F25:F32)</f>
        <v>24632</v>
      </c>
      <c r="G33" s="40">
        <f>F33/$H$33*100</f>
        <v>49.829061558068503</v>
      </c>
      <c r="H33" s="39">
        <f>SUM(H25:H32)</f>
        <v>49433</v>
      </c>
      <c r="I33" s="41">
        <f>H33/$H$33*100</f>
        <v>100</v>
      </c>
    </row>
    <row r="34" spans="1:10" ht="15" customHeight="1" x14ac:dyDescent="0.25">
      <c r="A34" s="86" t="s">
        <v>588</v>
      </c>
      <c r="B34" s="86"/>
      <c r="C34" s="86"/>
      <c r="D34" s="86"/>
      <c r="E34" s="86"/>
      <c r="F34" s="86"/>
      <c r="G34" s="86"/>
      <c r="H34" s="86"/>
      <c r="I34" s="86"/>
      <c r="J34" s="42"/>
    </row>
    <row r="35" spans="1:10" ht="15" customHeight="1" x14ac:dyDescent="0.25">
      <c r="A35" s="83" t="s">
        <v>570</v>
      </c>
      <c r="B35" s="83" t="s">
        <v>585</v>
      </c>
      <c r="C35" s="83"/>
      <c r="D35" s="84" t="s">
        <v>572</v>
      </c>
      <c r="E35" s="84"/>
      <c r="F35" s="84" t="s">
        <v>573</v>
      </c>
      <c r="G35" s="84"/>
      <c r="H35" s="85" t="s">
        <v>574</v>
      </c>
      <c r="I35" s="85"/>
      <c r="J35" s="42"/>
    </row>
    <row r="36" spans="1:10" ht="15" customHeight="1" x14ac:dyDescent="0.25">
      <c r="A36" s="83"/>
      <c r="B36" s="32" t="s">
        <v>575</v>
      </c>
      <c r="C36" s="32" t="s">
        <v>576</v>
      </c>
      <c r="D36" s="33" t="s">
        <v>574</v>
      </c>
      <c r="E36" s="33" t="s">
        <v>577</v>
      </c>
      <c r="F36" s="33" t="s">
        <v>574</v>
      </c>
      <c r="G36" s="33" t="s">
        <v>577</v>
      </c>
      <c r="H36" s="34" t="s">
        <v>586</v>
      </c>
      <c r="I36" s="34" t="s">
        <v>577</v>
      </c>
      <c r="J36" s="42"/>
    </row>
    <row r="37" spans="1:10" ht="15" customHeight="1" x14ac:dyDescent="0.25">
      <c r="A37" s="35">
        <v>24</v>
      </c>
      <c r="B37" s="35" t="str" cm="1">
        <f t="array" ref="B37:B52">RIGHT(_xlfn._xlws.FILTER('AGR_JK_3304_KAB. BANJARNEGARA'!$B$3:$B$300,(LEN('AGR_JK_3304_KAB. BANJARNEGARA'!$B$3:$B$300)=13)*(LEFT('AGR_JK_3304_KAB. BANJARNEGARA'!$B$3:$B$300,8)=MID(A34,13,8))),4)</f>
        <v>2001</v>
      </c>
      <c r="C37" s="36" t="str" cm="1">
        <f t="array" ref="C37:D52">_xlfn._xlws.FILTER('AGR_JK_3304_KAB. BANJARNEGARA'!$C$3:$D$300,(LEN('AGR_JK_3304_KAB. BANJARNEGARA'!$B$3:$B$300)=13)*(LEFT('AGR_JK_3304_KAB. BANJARNEGARA'!$B$3:$B$300,8)=MID(A34,13,8)))</f>
        <v>JALATUNDA</v>
      </c>
      <c r="D37" s="22">
        <v>3072</v>
      </c>
      <c r="E37" s="25" cm="1">
        <f t="array" ref="E37:E52">D37:D52/$H$37:$H$52*100</f>
        <v>50.743310208126857</v>
      </c>
      <c r="F37" s="22" cm="1">
        <f t="array" ref="F37:F52">_xlfn._xlws.FILTER('AGR_JK_3304_KAB. BANJARNEGARA'!$E$3:$E$300,(LEN('AGR_JK_3304_KAB. BANJARNEGARA'!$B$3:$B$300)=13)*(LEFT('AGR_JK_3304_KAB. BANJARNEGARA'!$B$3:$B$300,8)=MID(A34,13,8)))</f>
        <v>2982</v>
      </c>
      <c r="G37" s="25" cm="1">
        <f t="array" ref="G37:G52">F37:F52/$H$37:$H$52*100</f>
        <v>49.256689791873143</v>
      </c>
      <c r="H37" s="26" cm="1">
        <f t="array" ref="H37:H52">_xlfn._xlws.FILTER('AGR_JK_3304_KAB. BANJARNEGARA'!$F$3:$F$300,(LEN('AGR_JK_3304_KAB. BANJARNEGARA'!$B$3:$B$300)=13)*(LEFT('AGR_JK_3304_KAB. BANJARNEGARA'!$B$3:$B$300,8)=MID(A34,13,8)))</f>
        <v>6054</v>
      </c>
      <c r="I37" s="54" cm="1">
        <f t="array" ref="I37:I52">H37:H52/$H$37:$H$52*100</f>
        <v>100</v>
      </c>
      <c r="J37" s="42"/>
    </row>
    <row r="38" spans="1:10" ht="15" customHeight="1" x14ac:dyDescent="0.25">
      <c r="A38" s="35">
        <v>25</v>
      </c>
      <c r="B38" s="35" t="str">
        <v>2002</v>
      </c>
      <c r="C38" s="36" t="str">
        <v>SOMAWANGI</v>
      </c>
      <c r="D38" s="22">
        <v>4860</v>
      </c>
      <c r="E38" s="25">
        <v>49.866611943361377</v>
      </c>
      <c r="F38" s="22">
        <v>4886</v>
      </c>
      <c r="G38" s="25">
        <v>50.133388056638616</v>
      </c>
      <c r="H38" s="26">
        <v>9746</v>
      </c>
      <c r="I38" s="54">
        <v>100</v>
      </c>
      <c r="J38" s="42"/>
    </row>
    <row r="39" spans="1:10" ht="15" customHeight="1" x14ac:dyDescent="0.25">
      <c r="A39" s="35">
        <v>26</v>
      </c>
      <c r="B39" s="35" t="str">
        <v>2003</v>
      </c>
      <c r="C39" s="36" t="str">
        <v>KALIWUNGU</v>
      </c>
      <c r="D39" s="22">
        <v>2392</v>
      </c>
      <c r="E39" s="25">
        <v>50.115231510580351</v>
      </c>
      <c r="F39" s="22">
        <v>2381</v>
      </c>
      <c r="G39" s="25">
        <v>49.884768489419649</v>
      </c>
      <c r="H39" s="26">
        <v>4773</v>
      </c>
      <c r="I39" s="54">
        <v>100</v>
      </c>
      <c r="J39" s="42"/>
    </row>
    <row r="40" spans="1:10" ht="15" customHeight="1" x14ac:dyDescent="0.25">
      <c r="A40" s="35">
        <v>27</v>
      </c>
      <c r="B40" s="35" t="str">
        <v>2004</v>
      </c>
      <c r="C40" s="36" t="str">
        <v>KEBANARAN</v>
      </c>
      <c r="D40" s="22">
        <v>3106</v>
      </c>
      <c r="E40" s="25">
        <v>50.324044069993526</v>
      </c>
      <c r="F40" s="22">
        <v>3066</v>
      </c>
      <c r="G40" s="25">
        <v>49.675955930006481</v>
      </c>
      <c r="H40" s="26">
        <v>6172</v>
      </c>
      <c r="I40" s="54">
        <v>100</v>
      </c>
      <c r="J40" s="42"/>
    </row>
    <row r="41" spans="1:10" ht="15" customHeight="1" x14ac:dyDescent="0.25">
      <c r="A41" s="35">
        <v>28</v>
      </c>
      <c r="B41" s="35" t="str">
        <v>2005</v>
      </c>
      <c r="C41" s="36" t="str">
        <v>GLEMPANG</v>
      </c>
      <c r="D41" s="22">
        <v>3564</v>
      </c>
      <c r="E41" s="25">
        <v>50.510204081632651</v>
      </c>
      <c r="F41" s="22">
        <v>3492</v>
      </c>
      <c r="G41" s="25">
        <v>49.489795918367349</v>
      </c>
      <c r="H41" s="26">
        <v>7056</v>
      </c>
      <c r="I41" s="54">
        <v>100</v>
      </c>
      <c r="J41" s="42"/>
    </row>
    <row r="42" spans="1:10" ht="15" customHeight="1" x14ac:dyDescent="0.25">
      <c r="A42" s="35">
        <v>29</v>
      </c>
      <c r="B42" s="35" t="str">
        <v>2006</v>
      </c>
      <c r="C42" s="36" t="str">
        <v>SALAMERTA</v>
      </c>
      <c r="D42" s="22">
        <v>2740</v>
      </c>
      <c r="E42" s="25">
        <v>50.712567092356096</v>
      </c>
      <c r="F42" s="22">
        <v>2663</v>
      </c>
      <c r="G42" s="25">
        <v>49.287432907643904</v>
      </c>
      <c r="H42" s="26">
        <v>5403</v>
      </c>
      <c r="I42" s="54">
        <v>100</v>
      </c>
      <c r="J42" s="42"/>
    </row>
    <row r="43" spans="1:10" ht="15" customHeight="1" x14ac:dyDescent="0.25">
      <c r="A43" s="35">
        <v>30</v>
      </c>
      <c r="B43" s="35" t="str">
        <v>2007</v>
      </c>
      <c r="C43" s="36" t="str">
        <v>PURWASABA</v>
      </c>
      <c r="D43" s="22">
        <v>3872</v>
      </c>
      <c r="E43" s="25">
        <v>50.667364564250192</v>
      </c>
      <c r="F43" s="22">
        <v>3770</v>
      </c>
      <c r="G43" s="25">
        <v>49.332635435749808</v>
      </c>
      <c r="H43" s="26">
        <v>7642</v>
      </c>
      <c r="I43" s="54">
        <v>100</v>
      </c>
      <c r="J43" s="42"/>
    </row>
    <row r="44" spans="1:10" ht="15" customHeight="1" x14ac:dyDescent="0.25">
      <c r="A44" s="35">
        <v>31</v>
      </c>
      <c r="B44" s="35" t="str">
        <v>2008</v>
      </c>
      <c r="C44" s="36" t="str">
        <v>BLIMBING</v>
      </c>
      <c r="D44" s="22">
        <v>1423</v>
      </c>
      <c r="E44" s="25">
        <v>52.239353891336272</v>
      </c>
      <c r="F44" s="22">
        <v>1301</v>
      </c>
      <c r="G44" s="25">
        <v>47.760646108663728</v>
      </c>
      <c r="H44" s="26">
        <v>2724</v>
      </c>
      <c r="I44" s="54">
        <v>100</v>
      </c>
      <c r="J44" s="42"/>
    </row>
    <row r="45" spans="1:10" ht="15" customHeight="1" x14ac:dyDescent="0.25">
      <c r="A45" s="35">
        <v>32</v>
      </c>
      <c r="B45" s="35" t="str">
        <v>2009</v>
      </c>
      <c r="C45" s="36" t="str">
        <v>PANGGISARI</v>
      </c>
      <c r="D45" s="22">
        <v>2691</v>
      </c>
      <c r="E45" s="25">
        <v>50.177139660637707</v>
      </c>
      <c r="F45" s="22">
        <v>2672</v>
      </c>
      <c r="G45" s="25">
        <v>49.822860339362293</v>
      </c>
      <c r="H45" s="26">
        <v>5363</v>
      </c>
      <c r="I45" s="54">
        <v>100</v>
      </c>
      <c r="J45" s="42"/>
    </row>
    <row r="46" spans="1:10" ht="15" customHeight="1" x14ac:dyDescent="0.25">
      <c r="A46" s="35">
        <v>33</v>
      </c>
      <c r="B46" s="35" t="str">
        <v>2010</v>
      </c>
      <c r="C46" s="36" t="str">
        <v>CANDIWULAN</v>
      </c>
      <c r="D46" s="22">
        <v>1397</v>
      </c>
      <c r="E46" s="25">
        <v>50.28797696184305</v>
      </c>
      <c r="F46" s="22">
        <v>1381</v>
      </c>
      <c r="G46" s="25">
        <v>49.71202303815695</v>
      </c>
      <c r="H46" s="26">
        <v>2778</v>
      </c>
      <c r="I46" s="54">
        <v>100</v>
      </c>
      <c r="J46" s="42"/>
    </row>
    <row r="47" spans="1:10" ht="15" customHeight="1" x14ac:dyDescent="0.25">
      <c r="A47" s="35">
        <v>34</v>
      </c>
      <c r="B47" s="35" t="str">
        <v>2011</v>
      </c>
      <c r="C47" s="36" t="str">
        <v>SIMBANG</v>
      </c>
      <c r="D47" s="22">
        <v>1324</v>
      </c>
      <c r="E47" s="25">
        <v>50.075642965204239</v>
      </c>
      <c r="F47" s="22">
        <v>1320</v>
      </c>
      <c r="G47" s="25">
        <v>49.924357034795761</v>
      </c>
      <c r="H47" s="26">
        <v>2644</v>
      </c>
      <c r="I47" s="54">
        <v>100</v>
      </c>
      <c r="J47" s="42"/>
    </row>
    <row r="48" spans="1:10" ht="15" customHeight="1" x14ac:dyDescent="0.25">
      <c r="A48" s="35">
        <v>35</v>
      </c>
      <c r="B48" s="35" t="str">
        <v>2012</v>
      </c>
      <c r="C48" s="36" t="str">
        <v>KERTAYASA</v>
      </c>
      <c r="D48" s="22">
        <v>3679</v>
      </c>
      <c r="E48" s="25">
        <v>51.332496162969164</v>
      </c>
      <c r="F48" s="22">
        <v>3488</v>
      </c>
      <c r="G48" s="25">
        <v>48.667503837030836</v>
      </c>
      <c r="H48" s="26">
        <v>7167</v>
      </c>
      <c r="I48" s="54">
        <v>100</v>
      </c>
      <c r="J48" s="42"/>
    </row>
    <row r="49" spans="1:10" ht="15" customHeight="1" x14ac:dyDescent="0.25">
      <c r="A49" s="35">
        <v>36</v>
      </c>
      <c r="B49" s="35" t="str">
        <v>2013</v>
      </c>
      <c r="C49" s="36" t="str">
        <v>BANJENGAN</v>
      </c>
      <c r="D49" s="22">
        <v>1339</v>
      </c>
      <c r="E49" s="25">
        <v>51.087371232354059</v>
      </c>
      <c r="F49" s="22">
        <v>1282</v>
      </c>
      <c r="G49" s="25">
        <v>48.912628767645941</v>
      </c>
      <c r="H49" s="26">
        <v>2621</v>
      </c>
      <c r="I49" s="54">
        <v>100</v>
      </c>
      <c r="J49" s="42"/>
    </row>
    <row r="50" spans="1:10" ht="15" customHeight="1" x14ac:dyDescent="0.25">
      <c r="A50" s="35">
        <v>37</v>
      </c>
      <c r="B50" s="35" t="str">
        <v>2014</v>
      </c>
      <c r="C50" s="37" t="str">
        <v>MANDIRAJA KULON</v>
      </c>
      <c r="D50" s="22">
        <v>3286</v>
      </c>
      <c r="E50" s="25">
        <v>50.647348951911219</v>
      </c>
      <c r="F50" s="22">
        <v>3202</v>
      </c>
      <c r="G50" s="25">
        <v>49.352651048088781</v>
      </c>
      <c r="H50" s="26">
        <v>6488</v>
      </c>
      <c r="I50" s="54">
        <v>100</v>
      </c>
      <c r="J50" s="42"/>
    </row>
    <row r="51" spans="1:10" ht="15" customHeight="1" x14ac:dyDescent="0.25">
      <c r="A51" s="35">
        <v>38</v>
      </c>
      <c r="B51" s="35" t="str">
        <v>2015</v>
      </c>
      <c r="C51" s="36" t="str">
        <v>KEBAKALAN</v>
      </c>
      <c r="D51" s="38">
        <v>841</v>
      </c>
      <c r="E51" s="25">
        <v>50.969696969696962</v>
      </c>
      <c r="F51" s="38">
        <v>809</v>
      </c>
      <c r="G51" s="25">
        <v>49.030303030303031</v>
      </c>
      <c r="H51" s="26">
        <v>1650</v>
      </c>
      <c r="I51" s="54">
        <v>100</v>
      </c>
      <c r="J51" s="42"/>
    </row>
    <row r="52" spans="1:10" ht="15" customHeight="1" x14ac:dyDescent="0.25">
      <c r="A52" s="35">
        <v>39</v>
      </c>
      <c r="B52" s="35" t="str">
        <v>2016</v>
      </c>
      <c r="C52" s="37" t="str">
        <v>MANDIRAJA WETAN</v>
      </c>
      <c r="D52" s="22">
        <v>2616</v>
      </c>
      <c r="E52" s="25">
        <v>50.492182976259414</v>
      </c>
      <c r="F52" s="22">
        <v>2565</v>
      </c>
      <c r="G52" s="25">
        <v>49.507817023740593</v>
      </c>
      <c r="H52" s="26">
        <v>5181</v>
      </c>
      <c r="I52" s="54">
        <v>100</v>
      </c>
      <c r="J52" s="42"/>
    </row>
    <row r="53" spans="1:10" ht="15" customHeight="1" x14ac:dyDescent="0.25">
      <c r="A53" s="78" t="s">
        <v>574</v>
      </c>
      <c r="B53" s="78"/>
      <c r="C53" s="78"/>
      <c r="D53" s="39">
        <f>SUM(D37:D52)</f>
        <v>42202</v>
      </c>
      <c r="E53" s="40">
        <f>D53/$H$53*100</f>
        <v>50.564328676523452</v>
      </c>
      <c r="F53" s="39">
        <f>SUM(F37:F52)</f>
        <v>41260</v>
      </c>
      <c r="G53" s="40">
        <f>F53/$H$53*100</f>
        <v>49.435671323476555</v>
      </c>
      <c r="H53" s="39">
        <f>SUM(H37:H52)</f>
        <v>83462</v>
      </c>
      <c r="I53" s="41">
        <f>H53/$H$53*100</f>
        <v>100</v>
      </c>
    </row>
    <row r="54" spans="1:10" ht="15" customHeight="1" x14ac:dyDescent="0.25">
      <c r="A54" s="80" t="s">
        <v>589</v>
      </c>
      <c r="B54" s="81"/>
      <c r="C54" s="81"/>
      <c r="D54" s="81"/>
      <c r="E54" s="81"/>
      <c r="F54" s="81"/>
      <c r="G54" s="81"/>
      <c r="H54" s="81"/>
      <c r="I54" s="82"/>
    </row>
    <row r="55" spans="1:10" ht="15" customHeight="1" x14ac:dyDescent="0.25">
      <c r="A55" s="83" t="s">
        <v>570</v>
      </c>
      <c r="B55" s="83" t="s">
        <v>585</v>
      </c>
      <c r="C55" s="83"/>
      <c r="D55" s="84" t="s">
        <v>572</v>
      </c>
      <c r="E55" s="84"/>
      <c r="F55" s="84" t="s">
        <v>573</v>
      </c>
      <c r="G55" s="84"/>
      <c r="H55" s="85" t="s">
        <v>574</v>
      </c>
      <c r="I55" s="85"/>
    </row>
    <row r="56" spans="1:10" ht="15" customHeight="1" x14ac:dyDescent="0.25">
      <c r="A56" s="83"/>
      <c r="B56" s="32" t="s">
        <v>575</v>
      </c>
      <c r="C56" s="32" t="s">
        <v>576</v>
      </c>
      <c r="D56" s="33" t="s">
        <v>574</v>
      </c>
      <c r="E56" s="33" t="s">
        <v>577</v>
      </c>
      <c r="F56" s="33" t="s">
        <v>574</v>
      </c>
      <c r="G56" s="33" t="s">
        <v>577</v>
      </c>
      <c r="H56" s="34" t="s">
        <v>586</v>
      </c>
      <c r="I56" s="34" t="s">
        <v>577</v>
      </c>
    </row>
    <row r="57" spans="1:10" ht="15" customHeight="1" x14ac:dyDescent="0.25">
      <c r="A57" s="35">
        <v>40</v>
      </c>
      <c r="B57" s="35" t="str" cm="1">
        <f t="array" ref="B57:B69">RIGHT(_xlfn._xlws.FILTER('AGR_JK_3304_KAB. BANJARNEGARA'!$B$3:$B$300,(LEN('AGR_JK_3304_KAB. BANJARNEGARA'!$B$3:$B$300)=13)*(LEFT('AGR_JK_3304_KAB. BANJARNEGARA'!$B$3:$B$300,8)=MID(A54,13,8))),4)</f>
        <v>2001</v>
      </c>
      <c r="C57" s="36" t="str" cm="1">
        <f t="array" ref="C57:D69">_xlfn._xlws.FILTER('AGR_JK_3304_KAB. BANJARNEGARA'!$C$3:$D$300,(LEN('AGR_JK_3304_KAB. BANJARNEGARA'!$B$3:$B$300)=13)*(LEFT('AGR_JK_3304_KAB. BANJARNEGARA'!$B$3:$B$300,8)=MID(A54,13,8)))</f>
        <v>KALITENGAH</v>
      </c>
      <c r="D57" s="22">
        <v>2556</v>
      </c>
      <c r="E57" s="25" cm="1">
        <f t="array" ref="E57:E69">D57:D69/$H$57:$H$69*100</f>
        <v>50.896057347670251</v>
      </c>
      <c r="F57" s="22" cm="1">
        <f t="array" ref="F57:F69">_xlfn._xlws.FILTER('AGR_JK_3304_KAB. BANJARNEGARA'!$E$3:$E$300,(LEN('AGR_JK_3304_KAB. BANJARNEGARA'!$B$3:$B$300)=13)*(LEFT('AGR_JK_3304_KAB. BANJARNEGARA'!$B$3:$B$300,8)=MID(A54,13,8)))</f>
        <v>2466</v>
      </c>
      <c r="G57" s="25" cm="1">
        <f t="array" ref="G57:G69">F57:F69/$H$57:$H$69*100</f>
        <v>49.103942652329749</v>
      </c>
      <c r="H57" s="26" cm="1">
        <f t="array" ref="H57:H69">_xlfn._xlws.FILTER('AGR_JK_3304_KAB. BANJARNEGARA'!$F$3:$F$300,(LEN('AGR_JK_3304_KAB. BANJARNEGARA'!$B$3:$B$300)=13)*(LEFT('AGR_JK_3304_KAB. BANJARNEGARA'!$B$3:$B$300,8)=MID(A54,13,8)))</f>
        <v>5022</v>
      </c>
      <c r="I57" s="54" cm="1">
        <f t="array" ref="I57:I69">H57:H69/$H$57:$H$69*100</f>
        <v>100</v>
      </c>
    </row>
    <row r="58" spans="1:10" ht="15" customHeight="1" x14ac:dyDescent="0.25">
      <c r="A58" s="35">
        <v>41</v>
      </c>
      <c r="B58" s="35" t="str">
        <v>2002</v>
      </c>
      <c r="C58" s="36" t="str">
        <v>MERDEN</v>
      </c>
      <c r="D58" s="22">
        <v>6126</v>
      </c>
      <c r="E58" s="25">
        <v>51.062765691422854</v>
      </c>
      <c r="F58" s="22">
        <v>5871</v>
      </c>
      <c r="G58" s="25">
        <v>48.937234308577146</v>
      </c>
      <c r="H58" s="26">
        <v>11997</v>
      </c>
      <c r="I58" s="54">
        <v>100</v>
      </c>
    </row>
    <row r="59" spans="1:10" ht="15" customHeight="1" x14ac:dyDescent="0.25">
      <c r="A59" s="35">
        <v>42</v>
      </c>
      <c r="B59" s="35" t="str">
        <v>2003</v>
      </c>
      <c r="C59" s="36" t="str">
        <v>KARANGANYAR</v>
      </c>
      <c r="D59" s="22">
        <v>3712</v>
      </c>
      <c r="E59" s="25">
        <v>49.892473118279568</v>
      </c>
      <c r="F59" s="22">
        <v>3728</v>
      </c>
      <c r="G59" s="25">
        <v>50.107526881720432</v>
      </c>
      <c r="H59" s="26">
        <v>7440</v>
      </c>
      <c r="I59" s="54">
        <v>100</v>
      </c>
    </row>
    <row r="60" spans="1:10" ht="15" customHeight="1" x14ac:dyDescent="0.25">
      <c r="A60" s="35">
        <v>43</v>
      </c>
      <c r="B60" s="35" t="str">
        <v>2004</v>
      </c>
      <c r="C60" s="36" t="str">
        <v>KALIAJIR</v>
      </c>
      <c r="D60" s="22">
        <v>2960</v>
      </c>
      <c r="E60" s="25">
        <v>50.391556009533531</v>
      </c>
      <c r="F60" s="22">
        <v>2914</v>
      </c>
      <c r="G60" s="25">
        <v>49.608443990466462</v>
      </c>
      <c r="H60" s="26">
        <v>5874</v>
      </c>
      <c r="I60" s="54">
        <v>100</v>
      </c>
    </row>
    <row r="61" spans="1:10" ht="15" customHeight="1" x14ac:dyDescent="0.25">
      <c r="A61" s="35">
        <v>44</v>
      </c>
      <c r="B61" s="35" t="str">
        <v>2005</v>
      </c>
      <c r="C61" s="36" t="str">
        <v>PETIR</v>
      </c>
      <c r="D61" s="22">
        <v>4268</v>
      </c>
      <c r="E61" s="25">
        <v>50.749108204518436</v>
      </c>
      <c r="F61" s="22">
        <v>4142</v>
      </c>
      <c r="G61" s="25">
        <v>49.250891795481571</v>
      </c>
      <c r="H61" s="26">
        <v>8410</v>
      </c>
      <c r="I61" s="54">
        <v>100</v>
      </c>
    </row>
    <row r="62" spans="1:10" ht="15" customHeight="1" x14ac:dyDescent="0.25">
      <c r="A62" s="35">
        <v>45</v>
      </c>
      <c r="B62" s="35" t="str">
        <v>2006</v>
      </c>
      <c r="C62" s="36" t="str">
        <v>PUCUNGBEDUG</v>
      </c>
      <c r="D62" s="22">
        <v>3641</v>
      </c>
      <c r="E62" s="25">
        <v>51.209563994374122</v>
      </c>
      <c r="F62" s="22">
        <v>3469</v>
      </c>
      <c r="G62" s="25">
        <v>48.790436005625878</v>
      </c>
      <c r="H62" s="26">
        <v>7110</v>
      </c>
      <c r="I62" s="54">
        <v>100</v>
      </c>
    </row>
    <row r="63" spans="1:10" ht="15" customHeight="1" x14ac:dyDescent="0.25">
      <c r="A63" s="35">
        <v>46</v>
      </c>
      <c r="B63" s="35" t="str">
        <v>2007</v>
      </c>
      <c r="C63" s="36" t="str">
        <v>PARAKAN</v>
      </c>
      <c r="D63" s="22">
        <v>2789</v>
      </c>
      <c r="E63" s="25">
        <v>50.071813285457814</v>
      </c>
      <c r="F63" s="22">
        <v>2781</v>
      </c>
      <c r="G63" s="25">
        <v>49.928186714542186</v>
      </c>
      <c r="H63" s="26">
        <v>5570</v>
      </c>
      <c r="I63" s="54">
        <v>100</v>
      </c>
    </row>
    <row r="64" spans="1:10" ht="15" customHeight="1" x14ac:dyDescent="0.25">
      <c r="A64" s="35">
        <v>47</v>
      </c>
      <c r="B64" s="35" t="str">
        <v>2008</v>
      </c>
      <c r="C64" s="36" t="str">
        <v>MERTASARI</v>
      </c>
      <c r="D64" s="22">
        <v>2499</v>
      </c>
      <c r="E64" s="25">
        <v>49.652294853963838</v>
      </c>
      <c r="F64" s="22">
        <v>2534</v>
      </c>
      <c r="G64" s="25">
        <v>50.347705146036162</v>
      </c>
      <c r="H64" s="26">
        <v>5033</v>
      </c>
      <c r="I64" s="54">
        <v>100</v>
      </c>
    </row>
    <row r="65" spans="1:9" ht="15" customHeight="1" x14ac:dyDescent="0.25">
      <c r="A65" s="35">
        <v>48</v>
      </c>
      <c r="B65" s="35" t="str">
        <v>2009</v>
      </c>
      <c r="C65" s="36" t="str">
        <v>DANARAJA</v>
      </c>
      <c r="D65" s="22">
        <v>2759</v>
      </c>
      <c r="E65" s="25">
        <v>49.7296322999279</v>
      </c>
      <c r="F65" s="22">
        <v>2789</v>
      </c>
      <c r="G65" s="25">
        <v>50.270367700072093</v>
      </c>
      <c r="H65" s="26">
        <v>5548</v>
      </c>
      <c r="I65" s="54">
        <v>100</v>
      </c>
    </row>
    <row r="66" spans="1:9" ht="15" customHeight="1" x14ac:dyDescent="0.25">
      <c r="A66" s="35">
        <v>49</v>
      </c>
      <c r="B66" s="35" t="str">
        <v>2010</v>
      </c>
      <c r="C66" s="36" t="str">
        <v>PURWONEGORO</v>
      </c>
      <c r="D66" s="22">
        <v>4379</v>
      </c>
      <c r="E66" s="25">
        <v>49.789653212052301</v>
      </c>
      <c r="F66" s="22">
        <v>4416</v>
      </c>
      <c r="G66" s="25">
        <v>50.210346787947699</v>
      </c>
      <c r="H66" s="26">
        <v>8795</v>
      </c>
      <c r="I66" s="54">
        <v>100</v>
      </c>
    </row>
    <row r="67" spans="1:9" ht="15" customHeight="1" x14ac:dyDescent="0.25">
      <c r="A67" s="35">
        <v>50</v>
      </c>
      <c r="B67" s="35" t="str">
        <v>2011</v>
      </c>
      <c r="C67" s="36" t="str">
        <v>KALIPELUS</v>
      </c>
      <c r="D67" s="22">
        <v>2415</v>
      </c>
      <c r="E67" s="25">
        <v>50.820707070707073</v>
      </c>
      <c r="F67" s="22">
        <v>2337</v>
      </c>
      <c r="G67" s="25">
        <v>49.179292929292927</v>
      </c>
      <c r="H67" s="26">
        <v>4752</v>
      </c>
      <c r="I67" s="54">
        <v>100</v>
      </c>
    </row>
    <row r="68" spans="1:9" ht="15" customHeight="1" x14ac:dyDescent="0.25">
      <c r="A68" s="35">
        <v>51</v>
      </c>
      <c r="B68" s="35" t="str">
        <v>2012</v>
      </c>
      <c r="C68" s="36" t="str">
        <v>GUMIWANG</v>
      </c>
      <c r="D68" s="22">
        <v>4060</v>
      </c>
      <c r="E68" s="25">
        <v>50.24752475247525</v>
      </c>
      <c r="F68" s="22">
        <v>4020</v>
      </c>
      <c r="G68" s="25">
        <v>49.75247524752475</v>
      </c>
      <c r="H68" s="26">
        <v>8080</v>
      </c>
      <c r="I68" s="54">
        <v>100</v>
      </c>
    </row>
    <row r="69" spans="1:9" ht="15" customHeight="1" x14ac:dyDescent="0.25">
      <c r="A69" s="35">
        <v>52</v>
      </c>
      <c r="B69" s="35" t="str">
        <v>2013</v>
      </c>
      <c r="C69" s="36" t="str">
        <v>KUTAWULUH</v>
      </c>
      <c r="D69" s="22">
        <v>1590</v>
      </c>
      <c r="E69" s="25">
        <v>50.508259212198226</v>
      </c>
      <c r="F69" s="22">
        <v>1558</v>
      </c>
      <c r="G69" s="25">
        <v>49.491740787801781</v>
      </c>
      <c r="H69" s="26">
        <v>3148</v>
      </c>
      <c r="I69" s="54">
        <v>100</v>
      </c>
    </row>
    <row r="70" spans="1:9" ht="15" customHeight="1" x14ac:dyDescent="0.25">
      <c r="A70" s="78" t="s">
        <v>574</v>
      </c>
      <c r="B70" s="78"/>
      <c r="C70" s="78"/>
      <c r="D70" s="39">
        <f>SUM(D57:D69)</f>
        <v>43754</v>
      </c>
      <c r="E70" s="40">
        <f>D70/$H$70*100</f>
        <v>50.420032496341285</v>
      </c>
      <c r="F70" s="39">
        <f>SUM(F57:F69)</f>
        <v>43025</v>
      </c>
      <c r="G70" s="40">
        <f>F70/$H$70*100</f>
        <v>49.579967503658715</v>
      </c>
      <c r="H70" s="39">
        <f>SUM(H57:H69)</f>
        <v>86779</v>
      </c>
      <c r="I70" s="41">
        <f>H70/$H$70*100</f>
        <v>100</v>
      </c>
    </row>
    <row r="71" spans="1:9" ht="15" customHeight="1" x14ac:dyDescent="0.25">
      <c r="A71" s="80" t="s">
        <v>590</v>
      </c>
      <c r="B71" s="81"/>
      <c r="C71" s="81"/>
      <c r="D71" s="81"/>
      <c r="E71" s="81"/>
      <c r="F71" s="81"/>
      <c r="G71" s="81"/>
      <c r="H71" s="81"/>
      <c r="I71" s="82"/>
    </row>
    <row r="72" spans="1:9" ht="15" customHeight="1" x14ac:dyDescent="0.25">
      <c r="A72" s="83" t="s">
        <v>570</v>
      </c>
      <c r="B72" s="83" t="s">
        <v>585</v>
      </c>
      <c r="C72" s="83"/>
      <c r="D72" s="84" t="s">
        <v>572</v>
      </c>
      <c r="E72" s="84"/>
      <c r="F72" s="84" t="s">
        <v>573</v>
      </c>
      <c r="G72" s="84"/>
      <c r="H72" s="85" t="s">
        <v>574</v>
      </c>
      <c r="I72" s="85"/>
    </row>
    <row r="73" spans="1:9" ht="15" customHeight="1" x14ac:dyDescent="0.25">
      <c r="A73" s="83"/>
      <c r="B73" s="32" t="s">
        <v>575</v>
      </c>
      <c r="C73" s="32" t="s">
        <v>576</v>
      </c>
      <c r="D73" s="33" t="s">
        <v>574</v>
      </c>
      <c r="E73" s="33" t="s">
        <v>577</v>
      </c>
      <c r="F73" s="33" t="s">
        <v>574</v>
      </c>
      <c r="G73" s="33" t="s">
        <v>577</v>
      </c>
      <c r="H73" s="34" t="s">
        <v>586</v>
      </c>
      <c r="I73" s="34" t="s">
        <v>577</v>
      </c>
    </row>
    <row r="74" spans="1:9" ht="15" customHeight="1" x14ac:dyDescent="0.25">
      <c r="A74" s="35">
        <v>53</v>
      </c>
      <c r="B74" s="35" t="str" cm="1">
        <f t="array" ref="B74:B91">RIGHT(_xlfn._xlws.FILTER('AGR_JK_3304_KAB. BANJARNEGARA'!$B$3:$B$300,(LEN('AGR_JK_3304_KAB. BANJARNEGARA'!$B$3:$B$300)=13)*(LEFT('AGR_JK_3304_KAB. BANJARNEGARA'!$B$3:$B$300,8)=MID(A71,13,8))),4)</f>
        <v>2001</v>
      </c>
      <c r="C74" s="36" t="str" cm="1">
        <f t="array" ref="C74:D91">_xlfn._xlws.FILTER('AGR_JK_3304_KAB. BANJARNEGARA'!$C$3:$D$300,(LEN('AGR_JK_3304_KAB. BANJARNEGARA'!$B$3:$B$300)=13)*(LEFT('AGR_JK_3304_KAB. BANJARNEGARA'!$B$3:$B$300,8)=MID(A71,13,8)))</f>
        <v>WANADRI</v>
      </c>
      <c r="D74" s="22">
        <v>2411</v>
      </c>
      <c r="E74" s="25" cm="1">
        <f t="array" ref="E74:E91">D74:D91/$H$74:$H$91*100</f>
        <v>50.576882735473042</v>
      </c>
      <c r="F74" s="22" cm="1">
        <f t="array" ref="F74:F91">_xlfn._xlws.FILTER('AGR_JK_3304_KAB. BANJARNEGARA'!$E$3:$E$300,(LEN('AGR_JK_3304_KAB. BANJARNEGARA'!$B$3:$B$300)=13)*(LEFT('AGR_JK_3304_KAB. BANJARNEGARA'!$B$3:$B$300,8)=MID(A71,13,8)))</f>
        <v>2356</v>
      </c>
      <c r="G74" s="25" cm="1">
        <f t="array" ref="G74:G91">F74:F91/$H$74:$H$91*100</f>
        <v>49.423117264526958</v>
      </c>
      <c r="H74" s="26" cm="1">
        <f t="array" ref="H74:H91">_xlfn._xlws.FILTER('AGR_JK_3304_KAB. BANJARNEGARA'!$F$3:$F$300,(LEN('AGR_JK_3304_KAB. BANJARNEGARA'!$B$3:$B$300)=13)*(LEFT('AGR_JK_3304_KAB. BANJARNEGARA'!$B$3:$B$300,8)=MID(A71,13,8)))</f>
        <v>4767</v>
      </c>
      <c r="I74" s="54" cm="1">
        <f t="array" ref="I74:I91">H74:H91/$H$74:$H$91*100</f>
        <v>100</v>
      </c>
    </row>
    <row r="75" spans="1:9" ht="15" customHeight="1" x14ac:dyDescent="0.25">
      <c r="A75" s="35">
        <v>54</v>
      </c>
      <c r="B75" s="35" t="str">
        <v>2002</v>
      </c>
      <c r="C75" s="36" t="str">
        <v>KEBONDALEM</v>
      </c>
      <c r="D75" s="43">
        <v>2212</v>
      </c>
      <c r="E75" s="25">
        <v>51.346332404828217</v>
      </c>
      <c r="F75" s="43">
        <v>2096</v>
      </c>
      <c r="G75" s="25">
        <v>48.653667595171775</v>
      </c>
      <c r="H75" s="26">
        <v>4308</v>
      </c>
      <c r="I75" s="54">
        <v>100</v>
      </c>
    </row>
    <row r="76" spans="1:9" ht="15" customHeight="1" x14ac:dyDescent="0.25">
      <c r="A76" s="35">
        <v>55</v>
      </c>
      <c r="B76" s="35" t="str">
        <v>2003</v>
      </c>
      <c r="C76" s="36" t="str">
        <v>MAJALENGKA</v>
      </c>
      <c r="D76" s="43">
        <v>1944</v>
      </c>
      <c r="E76" s="25">
        <v>51.895355045381741</v>
      </c>
      <c r="F76" s="43">
        <v>1802</v>
      </c>
      <c r="G76" s="25">
        <v>48.104644954618259</v>
      </c>
      <c r="H76" s="26">
        <v>3746</v>
      </c>
      <c r="I76" s="54">
        <v>100</v>
      </c>
    </row>
    <row r="77" spans="1:9" ht="15" customHeight="1" x14ac:dyDescent="0.25">
      <c r="A77" s="35">
        <v>56</v>
      </c>
      <c r="B77" s="35" t="str">
        <v>2004</v>
      </c>
      <c r="C77" s="36" t="str">
        <v>WIRAMASTRA</v>
      </c>
      <c r="D77" s="43">
        <v>1751</v>
      </c>
      <c r="E77" s="25">
        <v>51.545481307035622</v>
      </c>
      <c r="F77" s="43">
        <v>1646</v>
      </c>
      <c r="G77" s="25">
        <v>48.454518692964385</v>
      </c>
      <c r="H77" s="26">
        <v>3397</v>
      </c>
      <c r="I77" s="54">
        <v>100</v>
      </c>
    </row>
    <row r="78" spans="1:9" ht="15" customHeight="1" x14ac:dyDescent="0.25">
      <c r="A78" s="35">
        <v>57</v>
      </c>
      <c r="B78" s="35" t="str">
        <v>2005</v>
      </c>
      <c r="C78" s="36" t="str">
        <v>KUTAYASA</v>
      </c>
      <c r="D78" s="44">
        <v>990</v>
      </c>
      <c r="E78" s="25">
        <v>51.5625</v>
      </c>
      <c r="F78" s="44">
        <v>930</v>
      </c>
      <c r="G78" s="25">
        <v>48.4375</v>
      </c>
      <c r="H78" s="26">
        <v>1920</v>
      </c>
      <c r="I78" s="54">
        <v>100</v>
      </c>
    </row>
    <row r="79" spans="1:9" ht="15" customHeight="1" x14ac:dyDescent="0.25">
      <c r="A79" s="35">
        <v>58</v>
      </c>
      <c r="B79" s="35" t="str">
        <v>2006</v>
      </c>
      <c r="C79" s="36" t="str">
        <v>WINONG</v>
      </c>
      <c r="D79" s="43">
        <v>1521</v>
      </c>
      <c r="E79" s="25">
        <v>49.54397394136808</v>
      </c>
      <c r="F79" s="43">
        <v>1549</v>
      </c>
      <c r="G79" s="25">
        <v>50.45602605863192</v>
      </c>
      <c r="H79" s="26">
        <v>3070</v>
      </c>
      <c r="I79" s="54">
        <v>100</v>
      </c>
    </row>
    <row r="80" spans="1:9" ht="15" customHeight="1" x14ac:dyDescent="0.25">
      <c r="A80" s="35">
        <v>59</v>
      </c>
      <c r="B80" s="35" t="str">
        <v>2007</v>
      </c>
      <c r="C80" s="36" t="str">
        <v>DEPOK</v>
      </c>
      <c r="D80" s="44">
        <v>534</v>
      </c>
      <c r="E80" s="25">
        <v>51.34615384615384</v>
      </c>
      <c r="F80" s="44">
        <v>506</v>
      </c>
      <c r="G80" s="25">
        <v>48.653846153846153</v>
      </c>
      <c r="H80" s="26">
        <v>1040</v>
      </c>
      <c r="I80" s="54">
        <v>100</v>
      </c>
    </row>
    <row r="81" spans="1:9" ht="15" customHeight="1" x14ac:dyDescent="0.25">
      <c r="A81" s="35">
        <v>60</v>
      </c>
      <c r="B81" s="35" t="str">
        <v>2008</v>
      </c>
      <c r="C81" s="36" t="str">
        <v>WATUURIP</v>
      </c>
      <c r="D81" s="44">
        <v>631</v>
      </c>
      <c r="E81" s="25">
        <v>49.645948072383952</v>
      </c>
      <c r="F81" s="44">
        <v>640</v>
      </c>
      <c r="G81" s="25">
        <v>50.354051927616048</v>
      </c>
      <c r="H81" s="26">
        <v>1271</v>
      </c>
      <c r="I81" s="54">
        <v>100</v>
      </c>
    </row>
    <row r="82" spans="1:9" ht="15" customHeight="1" x14ac:dyDescent="0.25">
      <c r="A82" s="35">
        <v>61</v>
      </c>
      <c r="B82" s="35" t="str">
        <v>2009</v>
      </c>
      <c r="C82" s="36" t="str">
        <v>MASARAN</v>
      </c>
      <c r="D82" s="43">
        <v>1592</v>
      </c>
      <c r="E82" s="25">
        <v>50.684495383635785</v>
      </c>
      <c r="F82" s="43">
        <v>1549</v>
      </c>
      <c r="G82" s="25">
        <v>49.315504616364215</v>
      </c>
      <c r="H82" s="26">
        <v>3141</v>
      </c>
      <c r="I82" s="54">
        <v>100</v>
      </c>
    </row>
    <row r="83" spans="1:9" ht="15" customHeight="1" x14ac:dyDescent="0.25">
      <c r="A83" s="35">
        <v>62</v>
      </c>
      <c r="B83" s="35" t="str">
        <v>2010</v>
      </c>
      <c r="C83" s="36" t="str">
        <v>SERANG</v>
      </c>
      <c r="D83" s="44">
        <v>680</v>
      </c>
      <c r="E83" s="25">
        <v>51.398337112622826</v>
      </c>
      <c r="F83" s="44">
        <v>643</v>
      </c>
      <c r="G83" s="25">
        <v>48.601662887377174</v>
      </c>
      <c r="H83" s="26">
        <v>1323</v>
      </c>
      <c r="I83" s="54">
        <v>100</v>
      </c>
    </row>
    <row r="84" spans="1:9" ht="15" customHeight="1" x14ac:dyDescent="0.25">
      <c r="A84" s="35">
        <v>63</v>
      </c>
      <c r="B84" s="35" t="str">
        <v>2011</v>
      </c>
      <c r="C84" s="36" t="str">
        <v>MANTRIANOM</v>
      </c>
      <c r="D84" s="43">
        <v>2704</v>
      </c>
      <c r="E84" s="25">
        <v>49.981515711645102</v>
      </c>
      <c r="F84" s="43">
        <v>2706</v>
      </c>
      <c r="G84" s="25">
        <v>50.018484288354905</v>
      </c>
      <c r="H84" s="26">
        <v>5410</v>
      </c>
      <c r="I84" s="54">
        <v>100</v>
      </c>
    </row>
    <row r="85" spans="1:9" ht="15" customHeight="1" x14ac:dyDescent="0.25">
      <c r="A85" s="35">
        <v>64</v>
      </c>
      <c r="B85" s="35" t="str">
        <v>2012</v>
      </c>
      <c r="C85" s="36" t="str">
        <v>BINORONG</v>
      </c>
      <c r="D85" s="43">
        <v>2674</v>
      </c>
      <c r="E85" s="25">
        <v>50.197109067017088</v>
      </c>
      <c r="F85" s="43">
        <v>2653</v>
      </c>
      <c r="G85" s="25">
        <v>49.802890932982919</v>
      </c>
      <c r="H85" s="26">
        <v>5327</v>
      </c>
      <c r="I85" s="54">
        <v>100</v>
      </c>
    </row>
    <row r="86" spans="1:9" ht="15" customHeight="1" x14ac:dyDescent="0.25">
      <c r="A86" s="35">
        <v>65</v>
      </c>
      <c r="B86" s="35" t="str">
        <v>2013</v>
      </c>
      <c r="C86" s="36" t="str">
        <v>JOHO</v>
      </c>
      <c r="D86" s="43">
        <v>1312</v>
      </c>
      <c r="E86" s="25">
        <v>50.931677018633536</v>
      </c>
      <c r="F86" s="43">
        <v>1264</v>
      </c>
      <c r="G86" s="25">
        <v>49.068322981366457</v>
      </c>
      <c r="H86" s="26">
        <v>2576</v>
      </c>
      <c r="I86" s="54">
        <v>100</v>
      </c>
    </row>
    <row r="87" spans="1:9" ht="15" customHeight="1" x14ac:dyDescent="0.25">
      <c r="A87" s="35">
        <v>66</v>
      </c>
      <c r="B87" s="35" t="str">
        <v>2014</v>
      </c>
      <c r="C87" s="36" t="str">
        <v>BAWANG</v>
      </c>
      <c r="D87" s="43">
        <v>2149</v>
      </c>
      <c r="E87" s="25">
        <v>50.139990667288849</v>
      </c>
      <c r="F87" s="43">
        <v>2137</v>
      </c>
      <c r="G87" s="25">
        <v>49.860009332711151</v>
      </c>
      <c r="H87" s="26">
        <v>4286</v>
      </c>
      <c r="I87" s="54">
        <v>100</v>
      </c>
    </row>
    <row r="88" spans="1:9" ht="15" customHeight="1" x14ac:dyDescent="0.25">
      <c r="A88" s="35">
        <v>67</v>
      </c>
      <c r="B88" s="35" t="str">
        <v>2015</v>
      </c>
      <c r="C88" s="36" t="str">
        <v>BANDINGAN</v>
      </c>
      <c r="D88" s="44">
        <v>856</v>
      </c>
      <c r="E88" s="25">
        <v>49.738524113887273</v>
      </c>
      <c r="F88" s="44">
        <v>865</v>
      </c>
      <c r="G88" s="25">
        <v>50.261475886112727</v>
      </c>
      <c r="H88" s="26">
        <v>1721</v>
      </c>
      <c r="I88" s="54">
        <v>100</v>
      </c>
    </row>
    <row r="89" spans="1:9" ht="15" customHeight="1" x14ac:dyDescent="0.25">
      <c r="A89" s="35">
        <v>68</v>
      </c>
      <c r="B89" s="35" t="str">
        <v>2016</v>
      </c>
      <c r="C89" s="36" t="str">
        <v>BLAMBANGAN</v>
      </c>
      <c r="D89" s="43">
        <v>3071</v>
      </c>
      <c r="E89" s="25">
        <v>49.732793522267201</v>
      </c>
      <c r="F89" s="43">
        <v>3104</v>
      </c>
      <c r="G89" s="25">
        <v>50.267206477732799</v>
      </c>
      <c r="H89" s="26">
        <v>6175</v>
      </c>
      <c r="I89" s="54">
        <v>100</v>
      </c>
    </row>
    <row r="90" spans="1:9" ht="15" customHeight="1" x14ac:dyDescent="0.25">
      <c r="A90" s="35">
        <v>69</v>
      </c>
      <c r="B90" s="35" t="str">
        <v>2017</v>
      </c>
      <c r="C90" s="36" t="str">
        <v>GEMURUH</v>
      </c>
      <c r="D90" s="43">
        <v>3258</v>
      </c>
      <c r="E90" s="25">
        <v>50.779301745635905</v>
      </c>
      <c r="F90" s="43">
        <v>3158</v>
      </c>
      <c r="G90" s="25">
        <v>49.220698254364095</v>
      </c>
      <c r="H90" s="26">
        <v>6416</v>
      </c>
      <c r="I90" s="54">
        <v>100</v>
      </c>
    </row>
    <row r="91" spans="1:9" ht="15" customHeight="1" x14ac:dyDescent="0.25">
      <c r="A91" s="35">
        <v>70</v>
      </c>
      <c r="B91" s="35" t="str">
        <v>2018</v>
      </c>
      <c r="C91" s="36" t="str">
        <v>PUCANG</v>
      </c>
      <c r="D91" s="43">
        <v>3456</v>
      </c>
      <c r="E91" s="25">
        <v>50.415754923413573</v>
      </c>
      <c r="F91" s="43">
        <v>3399</v>
      </c>
      <c r="G91" s="25">
        <v>49.584245076586427</v>
      </c>
      <c r="H91" s="26">
        <v>6855</v>
      </c>
      <c r="I91" s="54">
        <v>100</v>
      </c>
    </row>
    <row r="92" spans="1:9" ht="15" customHeight="1" x14ac:dyDescent="0.25">
      <c r="A92" s="78" t="s">
        <v>574</v>
      </c>
      <c r="B92" s="78"/>
      <c r="C92" s="78"/>
      <c r="D92" s="39">
        <f>SUM(D74:D91)</f>
        <v>33746</v>
      </c>
      <c r="E92" s="40">
        <f>D92/$H$92*100</f>
        <v>50.556562645133262</v>
      </c>
      <c r="F92" s="39">
        <f>SUM(F74:F91)</f>
        <v>33003</v>
      </c>
      <c r="G92" s="40">
        <f>F92/$H$92*100</f>
        <v>49.443437354866738</v>
      </c>
      <c r="H92" s="39">
        <f>SUM(H74:H91)</f>
        <v>66749</v>
      </c>
      <c r="I92" s="41">
        <f>H92/$H$92*100</f>
        <v>100</v>
      </c>
    </row>
    <row r="93" spans="1:9" ht="15" customHeight="1" x14ac:dyDescent="0.25">
      <c r="A93" s="80" t="s">
        <v>591</v>
      </c>
      <c r="B93" s="81"/>
      <c r="C93" s="81"/>
      <c r="D93" s="81"/>
      <c r="E93" s="81"/>
      <c r="F93" s="81"/>
      <c r="G93" s="81"/>
      <c r="H93" s="81"/>
      <c r="I93" s="82"/>
    </row>
    <row r="94" spans="1:9" ht="15" customHeight="1" x14ac:dyDescent="0.25">
      <c r="A94" s="83" t="s">
        <v>570</v>
      </c>
      <c r="B94" s="83" t="s">
        <v>585</v>
      </c>
      <c r="C94" s="83"/>
      <c r="D94" s="84" t="s">
        <v>572</v>
      </c>
      <c r="E94" s="84"/>
      <c r="F94" s="84" t="s">
        <v>573</v>
      </c>
      <c r="G94" s="84"/>
      <c r="H94" s="85" t="s">
        <v>574</v>
      </c>
      <c r="I94" s="85"/>
    </row>
    <row r="95" spans="1:9" ht="15" customHeight="1" x14ac:dyDescent="0.25">
      <c r="A95" s="83"/>
      <c r="B95" s="32" t="s">
        <v>575</v>
      </c>
      <c r="C95" s="32" t="s">
        <v>576</v>
      </c>
      <c r="D95" s="33" t="s">
        <v>574</v>
      </c>
      <c r="E95" s="33" t="s">
        <v>577</v>
      </c>
      <c r="F95" s="33" t="s">
        <v>574</v>
      </c>
      <c r="G95" s="33" t="s">
        <v>577</v>
      </c>
      <c r="H95" s="34" t="s">
        <v>586</v>
      </c>
      <c r="I95" s="34" t="s">
        <v>577</v>
      </c>
    </row>
    <row r="96" spans="1:9" ht="15" customHeight="1" x14ac:dyDescent="0.25">
      <c r="A96" s="35">
        <v>71</v>
      </c>
      <c r="B96" s="35" t="str" cm="1">
        <f t="array" ref="B96:B108">RIGHT(_xlfn._xlws.FILTER('AGR_JK_3304_KAB. BANJARNEGARA'!$B$3:$B$300,(LEN('AGR_JK_3304_KAB. BANJARNEGARA'!$B$3:$B$300)=13)*(LEFT('AGR_JK_3304_KAB. BANJARNEGARA'!$B$3:$B$300,8)=MID(A93,13,8))),4)</f>
        <v>1001</v>
      </c>
      <c r="C96" s="36" t="str" cm="1">
        <f t="array" ref="C96:D108">_xlfn._xlws.FILTER('AGR_JK_3304_KAB. BANJARNEGARA'!$C$3:$D$300,(LEN('AGR_JK_3304_KAB. BANJARNEGARA'!$B$3:$B$300)=13)*(LEFT('AGR_JK_3304_KAB. BANJARNEGARA'!$B$3:$B$300,8)=MID(A93,13,8)))</f>
        <v>ARGASOKA</v>
      </c>
      <c r="D96" s="22">
        <v>2929</v>
      </c>
      <c r="E96" s="25" cm="1">
        <f t="array" ref="E96:E108">D96:D108/$H$96:$H$108*100</f>
        <v>50.983463881636204</v>
      </c>
      <c r="F96" s="22" cm="1">
        <f t="array" ref="F96:F108">_xlfn._xlws.FILTER('AGR_JK_3304_KAB. BANJARNEGARA'!$E$3:$E$300,(LEN('AGR_JK_3304_KAB. BANJARNEGARA'!$B$3:$B$300)=13)*(LEFT('AGR_JK_3304_KAB. BANJARNEGARA'!$B$3:$B$300,8)=MID(A93,13,8)))</f>
        <v>2816</v>
      </c>
      <c r="G96" s="25" cm="1">
        <f t="array" ref="G96:G108">F96:F108/$H$96:$H$108*100</f>
        <v>49.016536118363796</v>
      </c>
      <c r="H96" s="26" cm="1">
        <f t="array" ref="H96:H108">_xlfn._xlws.FILTER('AGR_JK_3304_KAB. BANJARNEGARA'!$F$3:$F$300,(LEN('AGR_JK_3304_KAB. BANJARNEGARA'!$B$3:$B$300)=13)*(LEFT('AGR_JK_3304_KAB. BANJARNEGARA'!$B$3:$B$300,8)=MID(A93,13,8)))</f>
        <v>5745</v>
      </c>
      <c r="I96" s="54" cm="1">
        <f t="array" ref="I96:I108">H96:H108/$H$96:$H$108*100</f>
        <v>100</v>
      </c>
    </row>
    <row r="97" spans="1:9" ht="15" customHeight="1" x14ac:dyDescent="0.25">
      <c r="A97" s="35">
        <v>72</v>
      </c>
      <c r="B97" s="35" t="str">
        <v>1006</v>
      </c>
      <c r="C97" s="36" t="str">
        <v>KARANGTENGAH</v>
      </c>
      <c r="D97" s="43">
        <v>2129</v>
      </c>
      <c r="E97" s="25">
        <v>49.282407407407405</v>
      </c>
      <c r="F97" s="43">
        <v>2191</v>
      </c>
      <c r="G97" s="25">
        <v>50.717592592592595</v>
      </c>
      <c r="H97" s="26">
        <v>4320</v>
      </c>
      <c r="I97" s="54">
        <v>100</v>
      </c>
    </row>
    <row r="98" spans="1:9" ht="15" customHeight="1" x14ac:dyDescent="0.25">
      <c r="A98" s="35">
        <v>73</v>
      </c>
      <c r="B98" s="35" t="str">
        <v>1007</v>
      </c>
      <c r="C98" s="36" t="str">
        <v>WANGON</v>
      </c>
      <c r="D98" s="43">
        <v>1578</v>
      </c>
      <c r="E98" s="25">
        <v>51.034928848641655</v>
      </c>
      <c r="F98" s="43">
        <v>1514</v>
      </c>
      <c r="G98" s="25">
        <v>48.965071151358345</v>
      </c>
      <c r="H98" s="26">
        <v>3092</v>
      </c>
      <c r="I98" s="54">
        <v>100</v>
      </c>
    </row>
    <row r="99" spans="1:9" ht="15" customHeight="1" x14ac:dyDescent="0.25">
      <c r="A99" s="35">
        <v>74</v>
      </c>
      <c r="B99" s="35" t="str">
        <v>1008</v>
      </c>
      <c r="C99" s="36" t="str">
        <v>SEMAMPIR</v>
      </c>
      <c r="D99" s="43">
        <v>2037</v>
      </c>
      <c r="E99" s="25">
        <v>50.197141448989647</v>
      </c>
      <c r="F99" s="43">
        <v>2021</v>
      </c>
      <c r="G99" s="25">
        <v>49.802858551010345</v>
      </c>
      <c r="H99" s="26">
        <v>4058</v>
      </c>
      <c r="I99" s="54">
        <v>100</v>
      </c>
    </row>
    <row r="100" spans="1:9" ht="15" customHeight="1" x14ac:dyDescent="0.25">
      <c r="A100" s="35">
        <v>75</v>
      </c>
      <c r="B100" s="35" t="str">
        <v>1009</v>
      </c>
      <c r="C100" s="36" t="str">
        <v>SOKANANDI</v>
      </c>
      <c r="D100" s="44">
        <v>3264</v>
      </c>
      <c r="E100" s="25">
        <v>50.045998160073601</v>
      </c>
      <c r="F100" s="44">
        <v>3258</v>
      </c>
      <c r="G100" s="25">
        <v>49.954001839926406</v>
      </c>
      <c r="H100" s="26">
        <v>6522</v>
      </c>
      <c r="I100" s="54">
        <v>100</v>
      </c>
    </row>
    <row r="101" spans="1:9" ht="15" customHeight="1" x14ac:dyDescent="0.25">
      <c r="A101" s="35">
        <v>76</v>
      </c>
      <c r="B101" s="35" t="str">
        <v>1010</v>
      </c>
      <c r="C101" s="36" t="str">
        <v>PARAKANCANGGAH</v>
      </c>
      <c r="D101" s="43">
        <v>4544</v>
      </c>
      <c r="E101" s="25">
        <v>49.901164067647706</v>
      </c>
      <c r="F101" s="43">
        <v>4562</v>
      </c>
      <c r="G101" s="25">
        <v>50.098835932352294</v>
      </c>
      <c r="H101" s="26">
        <v>9106</v>
      </c>
      <c r="I101" s="54">
        <v>100</v>
      </c>
    </row>
    <row r="102" spans="1:9" ht="15" customHeight="1" x14ac:dyDescent="0.25">
      <c r="A102" s="35">
        <v>77</v>
      </c>
      <c r="B102" s="35" t="str">
        <v>1011</v>
      </c>
      <c r="C102" s="36" t="str">
        <v>SEMARANG</v>
      </c>
      <c r="D102" s="44">
        <v>2595</v>
      </c>
      <c r="E102" s="25">
        <v>49.827188940092164</v>
      </c>
      <c r="F102" s="44">
        <v>2613</v>
      </c>
      <c r="G102" s="25">
        <v>50.172811059907829</v>
      </c>
      <c r="H102" s="26">
        <v>5208</v>
      </c>
      <c r="I102" s="54">
        <v>100</v>
      </c>
    </row>
    <row r="103" spans="1:9" ht="15" customHeight="1" x14ac:dyDescent="0.25">
      <c r="A103" s="35">
        <v>78</v>
      </c>
      <c r="B103" s="35" t="str">
        <v>1012</v>
      </c>
      <c r="C103" s="36" t="str">
        <v>KRANDEGAN</v>
      </c>
      <c r="D103" s="44">
        <v>3306</v>
      </c>
      <c r="E103" s="25">
        <v>50.666666666666671</v>
      </c>
      <c r="F103" s="44">
        <v>3219</v>
      </c>
      <c r="G103" s="25">
        <v>49.333333333333336</v>
      </c>
      <c r="H103" s="26">
        <v>6525</v>
      </c>
      <c r="I103" s="54">
        <v>100</v>
      </c>
    </row>
    <row r="104" spans="1:9" ht="15" customHeight="1" x14ac:dyDescent="0.25">
      <c r="A104" s="35">
        <v>79</v>
      </c>
      <c r="B104" s="35" t="str">
        <v>1013</v>
      </c>
      <c r="C104" s="45" t="str">
        <v>KUTABANJARNEGARA</v>
      </c>
      <c r="D104" s="43">
        <v>5659</v>
      </c>
      <c r="E104" s="25">
        <v>49.354613640327926</v>
      </c>
      <c r="F104" s="43">
        <v>5807</v>
      </c>
      <c r="G104" s="25">
        <v>50.645386359672074</v>
      </c>
      <c r="H104" s="26">
        <v>11466</v>
      </c>
      <c r="I104" s="54">
        <v>100</v>
      </c>
    </row>
    <row r="105" spans="1:9" ht="15" customHeight="1" x14ac:dyDescent="0.25">
      <c r="A105" s="35">
        <v>80</v>
      </c>
      <c r="B105" s="35" t="str">
        <v>2002</v>
      </c>
      <c r="C105" s="36" t="str">
        <v>AMPELSARI</v>
      </c>
      <c r="D105" s="44">
        <v>2724</v>
      </c>
      <c r="E105" s="25">
        <v>51.464197997355001</v>
      </c>
      <c r="F105" s="44">
        <v>2569</v>
      </c>
      <c r="G105" s="25">
        <v>48.535802002644999</v>
      </c>
      <c r="H105" s="26">
        <v>5293</v>
      </c>
      <c r="I105" s="54">
        <v>100</v>
      </c>
    </row>
    <row r="106" spans="1:9" ht="15" customHeight="1" x14ac:dyDescent="0.25">
      <c r="A106" s="35">
        <v>81</v>
      </c>
      <c r="B106" s="35" t="str">
        <v>2003</v>
      </c>
      <c r="C106" s="36" t="str">
        <v>TLAGAWERA</v>
      </c>
      <c r="D106" s="43">
        <v>1727</v>
      </c>
      <c r="E106" s="25">
        <v>52.333333333333329</v>
      </c>
      <c r="F106" s="43">
        <v>1573</v>
      </c>
      <c r="G106" s="25">
        <v>47.666666666666671</v>
      </c>
      <c r="H106" s="26">
        <v>3300</v>
      </c>
      <c r="I106" s="54">
        <v>100</v>
      </c>
    </row>
    <row r="107" spans="1:9" ht="15" customHeight="1" x14ac:dyDescent="0.25">
      <c r="A107" s="35">
        <v>82</v>
      </c>
      <c r="B107" s="35" t="str">
        <v>2004</v>
      </c>
      <c r="C107" s="36" t="str">
        <v>CENDANA</v>
      </c>
      <c r="D107" s="43">
        <v>1903</v>
      </c>
      <c r="E107" s="25">
        <v>51.363022941970314</v>
      </c>
      <c r="F107" s="43">
        <v>1802</v>
      </c>
      <c r="G107" s="25">
        <v>48.636977058029693</v>
      </c>
      <c r="H107" s="26">
        <v>3705</v>
      </c>
      <c r="I107" s="54">
        <v>100</v>
      </c>
    </row>
    <row r="108" spans="1:9" ht="15" customHeight="1" x14ac:dyDescent="0.25">
      <c r="A108" s="35">
        <v>83</v>
      </c>
      <c r="B108" s="35" t="str">
        <v>2005</v>
      </c>
      <c r="C108" s="36" t="str">
        <v>SOKAYASA</v>
      </c>
      <c r="D108" s="43">
        <v>1591</v>
      </c>
      <c r="E108" s="25">
        <v>51.026298909557411</v>
      </c>
      <c r="F108" s="43">
        <v>1527</v>
      </c>
      <c r="G108" s="25">
        <v>48.973701090442589</v>
      </c>
      <c r="H108" s="26">
        <v>3118</v>
      </c>
      <c r="I108" s="54">
        <v>100</v>
      </c>
    </row>
    <row r="109" spans="1:9" ht="15" customHeight="1" x14ac:dyDescent="0.25">
      <c r="A109" s="78" t="s">
        <v>574</v>
      </c>
      <c r="B109" s="78"/>
      <c r="C109" s="78"/>
      <c r="D109" s="39">
        <f>SUM(D96:D108)</f>
        <v>35986</v>
      </c>
      <c r="E109" s="40">
        <f>D109/$H$109*100</f>
        <v>50.359651823448736</v>
      </c>
      <c r="F109" s="39">
        <f>SUM(F96:F108)</f>
        <v>35472</v>
      </c>
      <c r="G109" s="40">
        <f>F109/$H$109*100</f>
        <v>49.640348176551264</v>
      </c>
      <c r="H109" s="39">
        <f>SUM(H96:H108)</f>
        <v>71458</v>
      </c>
      <c r="I109" s="41">
        <f>H109/$H$109*100</f>
        <v>100</v>
      </c>
    </row>
    <row r="110" spans="1:9" ht="15" customHeight="1" x14ac:dyDescent="0.25">
      <c r="A110" s="80" t="s">
        <v>592</v>
      </c>
      <c r="B110" s="81"/>
      <c r="C110" s="81"/>
      <c r="D110" s="81"/>
      <c r="E110" s="81"/>
      <c r="F110" s="81"/>
      <c r="G110" s="81"/>
      <c r="H110" s="81"/>
      <c r="I110" s="82"/>
    </row>
    <row r="111" spans="1:9" ht="15" customHeight="1" x14ac:dyDescent="0.25">
      <c r="A111" s="83" t="s">
        <v>570</v>
      </c>
      <c r="B111" s="83" t="s">
        <v>585</v>
      </c>
      <c r="C111" s="83"/>
      <c r="D111" s="84" t="s">
        <v>572</v>
      </c>
      <c r="E111" s="84"/>
      <c r="F111" s="84" t="s">
        <v>573</v>
      </c>
      <c r="G111" s="84"/>
      <c r="H111" s="85" t="s">
        <v>574</v>
      </c>
      <c r="I111" s="85"/>
    </row>
    <row r="112" spans="1:9" ht="15" customHeight="1" x14ac:dyDescent="0.25">
      <c r="A112" s="83"/>
      <c r="B112" s="32" t="s">
        <v>575</v>
      </c>
      <c r="C112" s="32" t="s">
        <v>576</v>
      </c>
      <c r="D112" s="33" t="s">
        <v>574</v>
      </c>
      <c r="E112" s="33" t="s">
        <v>577</v>
      </c>
      <c r="F112" s="33" t="s">
        <v>574</v>
      </c>
      <c r="G112" s="33" t="s">
        <v>577</v>
      </c>
      <c r="H112" s="34" t="s">
        <v>586</v>
      </c>
      <c r="I112" s="34" t="s">
        <v>577</v>
      </c>
    </row>
    <row r="113" spans="1:9" ht="15" customHeight="1" x14ac:dyDescent="0.25">
      <c r="A113" s="35">
        <v>84</v>
      </c>
      <c r="B113" s="35" t="str" cm="1">
        <f t="array" ref="B113:B127">RIGHT(_xlfn._xlws.FILTER('AGR_JK_3304_KAB. BANJARNEGARA'!$B$3:$B$300,(LEN('AGR_JK_3304_KAB. BANJARNEGARA'!$B$3:$B$300)=13)*(LEFT('AGR_JK_3304_KAB. BANJARNEGARA'!$B$3:$B$300,8)=MID(A110,13,8))),4)</f>
        <v>1015</v>
      </c>
      <c r="C113" s="36" t="str" cm="1">
        <f t="array" ref="C113:D127">_xlfn._xlws.FILTER('AGR_JK_3304_KAB. BANJARNEGARA'!$C$3:$D$300,(LEN('AGR_JK_3304_KAB. BANJARNEGARA'!$B$3:$B$300)=13)*(LEFT('AGR_JK_3304_KAB. BANJARNEGARA'!$B$3:$B$300,8)=MID(A110,13,8)))</f>
        <v>KALIBENDA</v>
      </c>
      <c r="D113" s="22">
        <v>1026</v>
      </c>
      <c r="E113" s="25" cm="1">
        <f t="array" ref="E113:E127">D113:D127/$H$113:$H$127*100</f>
        <v>50.918114143920604</v>
      </c>
      <c r="F113" s="22" cm="1">
        <f t="array" ref="F113:F127">_xlfn._xlws.FILTER('AGR_JK_3304_KAB. BANJARNEGARA'!$E$3:$E$300,(LEN('AGR_JK_3304_KAB. BANJARNEGARA'!$B$3:$B$300)=13)*(LEFT('AGR_JK_3304_KAB. BANJARNEGARA'!$B$3:$B$300,8)=MID(A110,13,8)))</f>
        <v>989</v>
      </c>
      <c r="G113" s="25" cm="1">
        <f t="array" ref="G113:G127">F113:F127/$H$113:$H$127*100</f>
        <v>49.081885856079403</v>
      </c>
      <c r="H113" s="26" cm="1">
        <f t="array" ref="H113:H127">_xlfn._xlws.FILTER('AGR_JK_3304_KAB. BANJARNEGARA'!$F$3:$F$300,(LEN('AGR_JK_3304_KAB. BANJARNEGARA'!$B$3:$B$300)=13)*(LEFT('AGR_JK_3304_KAB. BANJARNEGARA'!$B$3:$B$300,8)=MID(A110,13,8)))</f>
        <v>2015</v>
      </c>
      <c r="I113" s="54" cm="1">
        <f t="array" ref="I113:I127">H113:H127/$H$113:$H$127*100</f>
        <v>100</v>
      </c>
    </row>
    <row r="114" spans="1:9" ht="15" customHeight="1" x14ac:dyDescent="0.25">
      <c r="A114" s="35">
        <v>85</v>
      </c>
      <c r="B114" s="35" t="str">
        <v>2001</v>
      </c>
      <c r="C114" s="36" t="str">
        <v>PRINGAMBA</v>
      </c>
      <c r="D114" s="43">
        <v>961</v>
      </c>
      <c r="E114" s="25">
        <v>49.922077922077925</v>
      </c>
      <c r="F114" s="43">
        <v>964</v>
      </c>
      <c r="G114" s="25">
        <v>50.077922077922075</v>
      </c>
      <c r="H114" s="26">
        <v>1925</v>
      </c>
      <c r="I114" s="54">
        <v>100</v>
      </c>
    </row>
    <row r="115" spans="1:9" ht="15" customHeight="1" x14ac:dyDescent="0.25">
      <c r="A115" s="35">
        <v>86</v>
      </c>
      <c r="B115" s="35" t="str">
        <v>2002</v>
      </c>
      <c r="C115" s="36" t="str">
        <v>SAWAL</v>
      </c>
      <c r="D115" s="43">
        <v>1453</v>
      </c>
      <c r="E115" s="25">
        <v>51.985688729874781</v>
      </c>
      <c r="F115" s="43">
        <v>1342</v>
      </c>
      <c r="G115" s="25">
        <v>48.014311270125226</v>
      </c>
      <c r="H115" s="26">
        <v>2795</v>
      </c>
      <c r="I115" s="54">
        <v>100</v>
      </c>
    </row>
    <row r="116" spans="1:9" ht="15" customHeight="1" x14ac:dyDescent="0.25">
      <c r="A116" s="35">
        <v>87</v>
      </c>
      <c r="B116" s="35" t="str">
        <v>2003</v>
      </c>
      <c r="C116" s="36" t="str">
        <v>PANAWAREN</v>
      </c>
      <c r="D116" s="43">
        <v>1903</v>
      </c>
      <c r="E116" s="25">
        <v>51.488095238095234</v>
      </c>
      <c r="F116" s="43">
        <v>1793</v>
      </c>
      <c r="G116" s="25">
        <v>48.511904761904759</v>
      </c>
      <c r="H116" s="26">
        <v>3696</v>
      </c>
      <c r="I116" s="54">
        <v>100</v>
      </c>
    </row>
    <row r="117" spans="1:9" ht="15" customHeight="1" x14ac:dyDescent="0.25">
      <c r="A117" s="35">
        <v>88</v>
      </c>
      <c r="B117" s="35" t="str">
        <v>2004</v>
      </c>
      <c r="C117" s="36" t="str">
        <v>TUNGGARA</v>
      </c>
      <c r="D117" s="44">
        <v>954</v>
      </c>
      <c r="E117" s="25">
        <v>49.558441558441558</v>
      </c>
      <c r="F117" s="44">
        <v>971</v>
      </c>
      <c r="G117" s="25">
        <v>50.441558441558442</v>
      </c>
      <c r="H117" s="26">
        <v>1925</v>
      </c>
      <c r="I117" s="54">
        <v>100</v>
      </c>
    </row>
    <row r="118" spans="1:9" ht="15" customHeight="1" x14ac:dyDescent="0.25">
      <c r="A118" s="35">
        <v>89</v>
      </c>
      <c r="B118" s="35" t="str">
        <v>2005</v>
      </c>
      <c r="C118" s="36" t="str">
        <v>RANDEGAN</v>
      </c>
      <c r="D118" s="43">
        <v>675</v>
      </c>
      <c r="E118" s="25">
        <v>52.366175329712959</v>
      </c>
      <c r="F118" s="43">
        <v>614</v>
      </c>
      <c r="G118" s="25">
        <v>47.633824670287048</v>
      </c>
      <c r="H118" s="26">
        <v>1289</v>
      </c>
      <c r="I118" s="54">
        <v>100</v>
      </c>
    </row>
    <row r="119" spans="1:9" ht="15" customHeight="1" x14ac:dyDescent="0.25">
      <c r="A119" s="35">
        <v>90</v>
      </c>
      <c r="B119" s="35" t="str">
        <v>2006</v>
      </c>
      <c r="C119" s="36" t="str">
        <v>BOJANEGARA</v>
      </c>
      <c r="D119" s="44">
        <v>1566</v>
      </c>
      <c r="E119" s="25">
        <v>50.063938618925832</v>
      </c>
      <c r="F119" s="44">
        <v>1562</v>
      </c>
      <c r="G119" s="25">
        <v>49.936061381074168</v>
      </c>
      <c r="H119" s="26">
        <v>3128</v>
      </c>
      <c r="I119" s="54">
        <v>100</v>
      </c>
    </row>
    <row r="120" spans="1:9" ht="15" customHeight="1" x14ac:dyDescent="0.25">
      <c r="A120" s="35">
        <v>91</v>
      </c>
      <c r="B120" s="35" t="str">
        <v>2007</v>
      </c>
      <c r="C120" s="36" t="str">
        <v>BANDINGAN</v>
      </c>
      <c r="D120" s="44">
        <v>1048</v>
      </c>
      <c r="E120" s="25">
        <v>50.79980610761028</v>
      </c>
      <c r="F120" s="44">
        <v>1015</v>
      </c>
      <c r="G120" s="25">
        <v>49.200193892389727</v>
      </c>
      <c r="H120" s="26">
        <v>2063</v>
      </c>
      <c r="I120" s="54">
        <v>100</v>
      </c>
    </row>
    <row r="121" spans="1:9" ht="15" customHeight="1" x14ac:dyDescent="0.25">
      <c r="A121" s="35">
        <v>92</v>
      </c>
      <c r="B121" s="35" t="str">
        <v>2008</v>
      </c>
      <c r="C121" s="36" t="str">
        <v>PRIGI</v>
      </c>
      <c r="D121" s="43">
        <v>2328</v>
      </c>
      <c r="E121" s="25">
        <v>49.839434810533078</v>
      </c>
      <c r="F121" s="43">
        <v>2343</v>
      </c>
      <c r="G121" s="25">
        <v>50.160565189466922</v>
      </c>
      <c r="H121" s="26">
        <v>4671</v>
      </c>
      <c r="I121" s="54">
        <v>100</v>
      </c>
    </row>
    <row r="122" spans="1:9" ht="15" customHeight="1" x14ac:dyDescent="0.25">
      <c r="A122" s="35">
        <v>93</v>
      </c>
      <c r="B122" s="35" t="str">
        <v>2009</v>
      </c>
      <c r="C122" s="36" t="str">
        <v>GEMBONGAN</v>
      </c>
      <c r="D122" s="44">
        <v>1671</v>
      </c>
      <c r="E122" s="25">
        <v>50.976205003050644</v>
      </c>
      <c r="F122" s="44">
        <v>1607</v>
      </c>
      <c r="G122" s="25">
        <v>49.023794996949363</v>
      </c>
      <c r="H122" s="26">
        <v>3278</v>
      </c>
      <c r="I122" s="54">
        <v>100</v>
      </c>
    </row>
    <row r="123" spans="1:9" ht="15" customHeight="1" x14ac:dyDescent="0.25">
      <c r="A123" s="35">
        <v>94</v>
      </c>
      <c r="B123" s="35" t="str">
        <v>2010</v>
      </c>
      <c r="C123" s="36" t="str">
        <v>KEMIRI</v>
      </c>
      <c r="D123" s="43">
        <v>521</v>
      </c>
      <c r="E123" s="25">
        <v>49.104618284637134</v>
      </c>
      <c r="F123" s="43">
        <v>540</v>
      </c>
      <c r="G123" s="25">
        <v>50.895381715362866</v>
      </c>
      <c r="H123" s="26">
        <v>1061</v>
      </c>
      <c r="I123" s="54">
        <v>100</v>
      </c>
    </row>
    <row r="124" spans="1:9" ht="15" customHeight="1" x14ac:dyDescent="0.25">
      <c r="A124" s="35">
        <v>95</v>
      </c>
      <c r="B124" s="35" t="str">
        <v>2011</v>
      </c>
      <c r="C124" s="36" t="str">
        <v>KARANGMANGU</v>
      </c>
      <c r="D124" s="43">
        <v>412</v>
      </c>
      <c r="E124" s="25">
        <v>49.106078665077476</v>
      </c>
      <c r="F124" s="43">
        <v>427</v>
      </c>
      <c r="G124" s="25">
        <v>50.893921334922531</v>
      </c>
      <c r="H124" s="26">
        <v>839</v>
      </c>
      <c r="I124" s="54">
        <v>100</v>
      </c>
    </row>
    <row r="125" spans="1:9" ht="15" customHeight="1" x14ac:dyDescent="0.25">
      <c r="A125" s="35">
        <v>96</v>
      </c>
      <c r="B125" s="35" t="str">
        <v>2012</v>
      </c>
      <c r="C125" s="36" t="str">
        <v>WANACIPTA</v>
      </c>
      <c r="D125" s="43">
        <v>255</v>
      </c>
      <c r="E125" s="25">
        <v>50.898203592814376</v>
      </c>
      <c r="F125" s="43">
        <v>246</v>
      </c>
      <c r="G125" s="25">
        <v>49.101796407185624</v>
      </c>
      <c r="H125" s="26">
        <v>501</v>
      </c>
      <c r="I125" s="54">
        <v>100</v>
      </c>
    </row>
    <row r="126" spans="1:9" ht="15" customHeight="1" x14ac:dyDescent="0.25">
      <c r="A126" s="35">
        <v>97</v>
      </c>
      <c r="B126" s="35" t="str">
        <v>2013</v>
      </c>
      <c r="C126" s="36" t="str">
        <v>SIGALUH</v>
      </c>
      <c r="D126" s="43">
        <v>700</v>
      </c>
      <c r="E126" s="25">
        <v>49.645390070921984</v>
      </c>
      <c r="F126" s="43">
        <v>710</v>
      </c>
      <c r="G126" s="25">
        <v>50.354609929078009</v>
      </c>
      <c r="H126" s="26">
        <v>1410</v>
      </c>
      <c r="I126" s="54">
        <v>100</v>
      </c>
    </row>
    <row r="127" spans="1:9" ht="15" customHeight="1" x14ac:dyDescent="0.25">
      <c r="A127" s="35">
        <v>98</v>
      </c>
      <c r="B127" s="35" t="str">
        <v>2014</v>
      </c>
      <c r="C127" s="36" t="str">
        <v>SINGAMERTA</v>
      </c>
      <c r="D127" s="44">
        <v>1234</v>
      </c>
      <c r="E127" s="25">
        <v>49.222177901874751</v>
      </c>
      <c r="F127" s="44">
        <v>1273</v>
      </c>
      <c r="G127" s="25">
        <v>50.777822098125249</v>
      </c>
      <c r="H127" s="26">
        <v>2507</v>
      </c>
      <c r="I127" s="54">
        <v>100</v>
      </c>
    </row>
    <row r="128" spans="1:9" ht="15" customHeight="1" x14ac:dyDescent="0.25">
      <c r="A128" s="78" t="s">
        <v>574</v>
      </c>
      <c r="B128" s="78"/>
      <c r="C128" s="78"/>
      <c r="D128" s="39">
        <f>SUM(D113:D127)</f>
        <v>16707</v>
      </c>
      <c r="E128" s="40">
        <f>D128/$H$128*100</f>
        <v>50.46974594447633</v>
      </c>
      <c r="F128" s="39">
        <f>SUM(F113:F127)</f>
        <v>16396</v>
      </c>
      <c r="G128" s="40">
        <f>F128/$H$128*100</f>
        <v>49.53025405552367</v>
      </c>
      <c r="H128" s="39">
        <f>SUM(H113:H127)</f>
        <v>33103</v>
      </c>
      <c r="I128" s="41">
        <f>H128/$H$128*100</f>
        <v>100</v>
      </c>
    </row>
    <row r="129" spans="1:9" ht="15" customHeight="1" x14ac:dyDescent="0.25">
      <c r="A129" s="80" t="s">
        <v>593</v>
      </c>
      <c r="B129" s="81"/>
      <c r="C129" s="81"/>
      <c r="D129" s="81"/>
      <c r="E129" s="81"/>
      <c r="F129" s="81"/>
      <c r="G129" s="81"/>
      <c r="H129" s="81"/>
      <c r="I129" s="82"/>
    </row>
    <row r="130" spans="1:9" ht="15" customHeight="1" x14ac:dyDescent="0.25">
      <c r="A130" s="83" t="s">
        <v>570</v>
      </c>
      <c r="B130" s="83" t="s">
        <v>585</v>
      </c>
      <c r="C130" s="83"/>
      <c r="D130" s="84" t="s">
        <v>572</v>
      </c>
      <c r="E130" s="84"/>
      <c r="F130" s="84" t="s">
        <v>573</v>
      </c>
      <c r="G130" s="84"/>
      <c r="H130" s="85" t="s">
        <v>574</v>
      </c>
      <c r="I130" s="85"/>
    </row>
    <row r="131" spans="1:9" ht="15" customHeight="1" x14ac:dyDescent="0.25">
      <c r="A131" s="83"/>
      <c r="B131" s="32" t="s">
        <v>575</v>
      </c>
      <c r="C131" s="32" t="s">
        <v>576</v>
      </c>
      <c r="D131" s="33" t="s">
        <v>574</v>
      </c>
      <c r="E131" s="33" t="s">
        <v>577</v>
      </c>
      <c r="F131" s="33" t="s">
        <v>574</v>
      </c>
      <c r="G131" s="33" t="s">
        <v>577</v>
      </c>
      <c r="H131" s="34" t="s">
        <v>586</v>
      </c>
      <c r="I131" s="34" t="s">
        <v>577</v>
      </c>
    </row>
    <row r="132" spans="1:9" ht="15" customHeight="1" x14ac:dyDescent="0.25">
      <c r="A132" s="36">
        <v>99</v>
      </c>
      <c r="B132" s="35" t="str" cm="1">
        <f t="array" ref="B132:B151">RIGHT(_xlfn._xlws.FILTER('AGR_JK_3304_KAB. BANJARNEGARA'!$B$3:$B$300,(LEN('AGR_JK_3304_KAB. BANJARNEGARA'!$B$3:$B$300)=13)*(LEFT('AGR_JK_3304_KAB. BANJARNEGARA'!$B$3:$B$300,8)=MID(A129,13,8))),4)</f>
        <v>1011</v>
      </c>
      <c r="C132" s="36" t="str" cm="1">
        <f t="array" ref="C132:D151">_xlfn._xlws.FILTER('AGR_JK_3304_KAB. BANJARNEGARA'!$C$3:$D$300,(LEN('AGR_JK_3304_KAB. BANJARNEGARA'!$B$3:$B$300)=13)*(LEFT('AGR_JK_3304_KAB. BANJARNEGARA'!$B$3:$B$300,8)=MID(A129,13,8)))</f>
        <v>KENTENG</v>
      </c>
      <c r="D132" s="22">
        <v>1501</v>
      </c>
      <c r="E132" s="25" cm="1">
        <f t="array" ref="E132:E151">D132:D151/$H$132:$H$151*100</f>
        <v>50.933152358330503</v>
      </c>
      <c r="F132" s="22" cm="1">
        <f t="array" ref="F132:F151">_xlfn._xlws.FILTER('AGR_JK_3304_KAB. BANJARNEGARA'!$E$3:$E$300,(LEN('AGR_JK_3304_KAB. BANJARNEGARA'!$B$3:$B$300)=13)*(LEFT('AGR_JK_3304_KAB. BANJARNEGARA'!$B$3:$B$300,8)=MID(A129,13,8)))</f>
        <v>1446</v>
      </c>
      <c r="G132" s="25" cm="1">
        <f t="array" ref="G132:G151">F132:F151/$H$132:$H$151*100</f>
        <v>49.06684764166949</v>
      </c>
      <c r="H132" s="26" cm="1">
        <f t="array" ref="H132:H151">_xlfn._xlws.FILTER('AGR_JK_3304_KAB. BANJARNEGARA'!$F$3:$F$300,(LEN('AGR_JK_3304_KAB. BANJARNEGARA'!$B$3:$B$300)=13)*(LEFT('AGR_JK_3304_KAB. BANJARNEGARA'!$B$3:$B$300,8)=MID(A129,13,8)))</f>
        <v>2947</v>
      </c>
      <c r="I132" s="54" cm="1">
        <f t="array" ref="I132:I151">H132:H151/$H$132:$H$151*100</f>
        <v>100</v>
      </c>
    </row>
    <row r="133" spans="1:9" ht="15" customHeight="1" x14ac:dyDescent="0.25">
      <c r="A133" s="36">
        <v>100</v>
      </c>
      <c r="B133" s="35" t="str">
        <v>1012</v>
      </c>
      <c r="C133" s="36" t="str">
        <v>REJASA</v>
      </c>
      <c r="D133" s="43">
        <v>1388</v>
      </c>
      <c r="E133" s="25">
        <v>50.162631008312253</v>
      </c>
      <c r="F133" s="43">
        <v>1379</v>
      </c>
      <c r="G133" s="25">
        <v>49.837368991687747</v>
      </c>
      <c r="H133" s="26">
        <v>2767</v>
      </c>
      <c r="I133" s="54">
        <v>100</v>
      </c>
    </row>
    <row r="134" spans="1:9" ht="15" customHeight="1" x14ac:dyDescent="0.25">
      <c r="A134" s="36">
        <v>101</v>
      </c>
      <c r="B134" s="35" t="str">
        <v>2001</v>
      </c>
      <c r="C134" s="36" t="str">
        <v>LIMBANGAN</v>
      </c>
      <c r="D134" s="43">
        <v>885</v>
      </c>
      <c r="E134" s="25">
        <v>50.427350427350426</v>
      </c>
      <c r="F134" s="43">
        <v>870</v>
      </c>
      <c r="G134" s="25">
        <v>49.572649572649574</v>
      </c>
      <c r="H134" s="26">
        <v>1755</v>
      </c>
      <c r="I134" s="54">
        <v>100</v>
      </c>
    </row>
    <row r="135" spans="1:9" ht="15" customHeight="1" x14ac:dyDescent="0.25">
      <c r="A135" s="36">
        <v>102</v>
      </c>
      <c r="B135" s="35" t="str">
        <v>2002</v>
      </c>
      <c r="C135" s="36" t="str">
        <v>PENAWANGAN</v>
      </c>
      <c r="D135" s="43">
        <v>573</v>
      </c>
      <c r="E135" s="25">
        <v>50.573698146513678</v>
      </c>
      <c r="F135" s="43">
        <v>560</v>
      </c>
      <c r="G135" s="25">
        <v>49.426301853486322</v>
      </c>
      <c r="H135" s="26">
        <v>1133</v>
      </c>
      <c r="I135" s="54">
        <v>100</v>
      </c>
    </row>
    <row r="136" spans="1:9" ht="15" customHeight="1" x14ac:dyDescent="0.25">
      <c r="A136" s="36">
        <v>103</v>
      </c>
      <c r="B136" s="35" t="str">
        <v>2003</v>
      </c>
      <c r="C136" s="36" t="str">
        <v>TALUNAMBA</v>
      </c>
      <c r="D136" s="44">
        <v>832</v>
      </c>
      <c r="E136" s="25">
        <v>49.880095923261393</v>
      </c>
      <c r="F136" s="44">
        <v>836</v>
      </c>
      <c r="G136" s="25">
        <v>50.119904076738607</v>
      </c>
      <c r="H136" s="26">
        <v>1668</v>
      </c>
      <c r="I136" s="54">
        <v>100</v>
      </c>
    </row>
    <row r="137" spans="1:9" ht="15" customHeight="1" x14ac:dyDescent="0.25">
      <c r="A137" s="36">
        <v>104</v>
      </c>
      <c r="B137" s="35" t="str">
        <v>2004</v>
      </c>
      <c r="C137" s="36" t="str">
        <v>MADUKARA</v>
      </c>
      <c r="D137" s="43">
        <v>1233</v>
      </c>
      <c r="E137" s="25">
        <v>50.971475816453079</v>
      </c>
      <c r="F137" s="43">
        <v>1186</v>
      </c>
      <c r="G137" s="25">
        <v>49.028524183546921</v>
      </c>
      <c r="H137" s="26">
        <v>2419</v>
      </c>
      <c r="I137" s="54">
        <v>100</v>
      </c>
    </row>
    <row r="138" spans="1:9" ht="15" customHeight="1" x14ac:dyDescent="0.25">
      <c r="A138" s="36">
        <v>105</v>
      </c>
      <c r="B138" s="35" t="str">
        <v>2005</v>
      </c>
      <c r="C138" s="36" t="str">
        <v>KUTAYASA</v>
      </c>
      <c r="D138" s="44">
        <v>976</v>
      </c>
      <c r="E138" s="25">
        <v>49.872253449156872</v>
      </c>
      <c r="F138" s="44">
        <v>981</v>
      </c>
      <c r="G138" s="25">
        <v>50.127746550843121</v>
      </c>
      <c r="H138" s="26">
        <v>1957</v>
      </c>
      <c r="I138" s="54">
        <v>100</v>
      </c>
    </row>
    <row r="139" spans="1:9" ht="15" customHeight="1" x14ac:dyDescent="0.25">
      <c r="A139" s="36">
        <v>106</v>
      </c>
      <c r="B139" s="35" t="str">
        <v>2006</v>
      </c>
      <c r="C139" s="36" t="str">
        <v>PEKAUMAN</v>
      </c>
      <c r="D139" s="44">
        <v>910</v>
      </c>
      <c r="E139" s="25">
        <v>51.354401805869074</v>
      </c>
      <c r="F139" s="44">
        <v>862</v>
      </c>
      <c r="G139" s="25">
        <v>48.645598194130926</v>
      </c>
      <c r="H139" s="26">
        <v>1772</v>
      </c>
      <c r="I139" s="54">
        <v>100</v>
      </c>
    </row>
    <row r="140" spans="1:9" ht="15" customHeight="1" x14ac:dyDescent="0.25">
      <c r="A140" s="36">
        <v>107</v>
      </c>
      <c r="B140" s="35" t="str">
        <v>2007</v>
      </c>
      <c r="C140" s="36" t="str">
        <v>PAGELAK</v>
      </c>
      <c r="D140" s="43">
        <v>1315</v>
      </c>
      <c r="E140" s="25">
        <v>53.045582896329165</v>
      </c>
      <c r="F140" s="43">
        <v>1164</v>
      </c>
      <c r="G140" s="25">
        <v>46.954417103670835</v>
      </c>
      <c r="H140" s="26">
        <v>2479</v>
      </c>
      <c r="I140" s="54">
        <v>100</v>
      </c>
    </row>
    <row r="141" spans="1:9" ht="15" customHeight="1" x14ac:dyDescent="0.25">
      <c r="A141" s="36">
        <v>108</v>
      </c>
      <c r="B141" s="35" t="str">
        <v>2008</v>
      </c>
      <c r="C141" s="36" t="str">
        <v>DAWUHAN</v>
      </c>
      <c r="D141" s="44">
        <v>1689</v>
      </c>
      <c r="E141" s="25">
        <v>50.812274368231044</v>
      </c>
      <c r="F141" s="44">
        <v>1635</v>
      </c>
      <c r="G141" s="25">
        <v>49.187725631768956</v>
      </c>
      <c r="H141" s="26">
        <v>3324</v>
      </c>
      <c r="I141" s="54">
        <v>100</v>
      </c>
    </row>
    <row r="142" spans="1:9" ht="15" customHeight="1" x14ac:dyDescent="0.25">
      <c r="A142" s="36">
        <v>109</v>
      </c>
      <c r="B142" s="35" t="str">
        <v>2009</v>
      </c>
      <c r="C142" s="36" t="str">
        <v>BANTARWARU</v>
      </c>
      <c r="D142" s="43">
        <v>1877</v>
      </c>
      <c r="E142" s="25">
        <v>51.11655773420479</v>
      </c>
      <c r="F142" s="43">
        <v>1795</v>
      </c>
      <c r="G142" s="25">
        <v>48.88344226579521</v>
      </c>
      <c r="H142" s="26">
        <v>3672</v>
      </c>
      <c r="I142" s="54">
        <v>100</v>
      </c>
    </row>
    <row r="143" spans="1:9" ht="15" customHeight="1" x14ac:dyDescent="0.25">
      <c r="A143" s="36">
        <v>110</v>
      </c>
      <c r="B143" s="35" t="str">
        <v>2010</v>
      </c>
      <c r="C143" s="36" t="str">
        <v>SERED</v>
      </c>
      <c r="D143" s="43">
        <v>1044</v>
      </c>
      <c r="E143" s="25">
        <v>51.277013752455794</v>
      </c>
      <c r="F143" s="43">
        <v>992</v>
      </c>
      <c r="G143" s="25">
        <v>48.722986247544206</v>
      </c>
      <c r="H143" s="26">
        <v>2036</v>
      </c>
      <c r="I143" s="54">
        <v>100</v>
      </c>
    </row>
    <row r="144" spans="1:9" ht="15" customHeight="1" x14ac:dyDescent="0.25">
      <c r="A144" s="36">
        <v>111</v>
      </c>
      <c r="B144" s="35" t="str">
        <v>2013</v>
      </c>
      <c r="C144" s="36" t="str">
        <v>PETAMBAKAN</v>
      </c>
      <c r="D144" s="43">
        <v>1609</v>
      </c>
      <c r="E144" s="25">
        <v>50.109000311429462</v>
      </c>
      <c r="F144" s="43">
        <v>1602</v>
      </c>
      <c r="G144" s="25">
        <v>49.890999688570538</v>
      </c>
      <c r="H144" s="26">
        <v>3211</v>
      </c>
      <c r="I144" s="54">
        <v>100</v>
      </c>
    </row>
    <row r="145" spans="1:9" ht="15" customHeight="1" x14ac:dyDescent="0.25">
      <c r="A145" s="36">
        <v>112</v>
      </c>
      <c r="B145" s="35" t="str">
        <v>2014</v>
      </c>
      <c r="C145" s="36" t="str">
        <v>RAKITAN</v>
      </c>
      <c r="D145" s="43">
        <v>1470</v>
      </c>
      <c r="E145" s="25">
        <v>50.376970527758736</v>
      </c>
      <c r="F145" s="43">
        <v>1448</v>
      </c>
      <c r="G145" s="25">
        <v>49.623029472241257</v>
      </c>
      <c r="H145" s="26">
        <v>2918</v>
      </c>
      <c r="I145" s="54">
        <v>100</v>
      </c>
    </row>
    <row r="146" spans="1:9" ht="15" customHeight="1" x14ac:dyDescent="0.25">
      <c r="A146" s="36">
        <v>113</v>
      </c>
      <c r="B146" s="35" t="str">
        <v>2015</v>
      </c>
      <c r="C146" s="36" t="str">
        <v>BLITAR</v>
      </c>
      <c r="D146" s="44">
        <v>1133</v>
      </c>
      <c r="E146" s="25">
        <v>52.429430819065246</v>
      </c>
      <c r="F146" s="44">
        <v>1028</v>
      </c>
      <c r="G146" s="25">
        <v>47.570569180934754</v>
      </c>
      <c r="H146" s="26">
        <v>2161</v>
      </c>
      <c r="I146" s="54">
        <v>100</v>
      </c>
    </row>
    <row r="147" spans="1:9" ht="15" customHeight="1" x14ac:dyDescent="0.25">
      <c r="A147" s="36">
        <v>114</v>
      </c>
      <c r="B147" s="35" t="str">
        <v>2016</v>
      </c>
      <c r="C147" s="36" t="str">
        <v>KALIURIP</v>
      </c>
      <c r="D147" s="43">
        <v>1876</v>
      </c>
      <c r="E147" s="25">
        <v>51.145038167938928</v>
      </c>
      <c r="F147" s="43">
        <v>1792</v>
      </c>
      <c r="G147" s="25">
        <v>48.854961832061065</v>
      </c>
      <c r="H147" s="26">
        <v>3668</v>
      </c>
      <c r="I147" s="54">
        <v>100</v>
      </c>
    </row>
    <row r="148" spans="1:9" ht="15" customHeight="1" x14ac:dyDescent="0.25">
      <c r="A148" s="36">
        <v>115</v>
      </c>
      <c r="B148" s="35" t="str">
        <v>2017</v>
      </c>
      <c r="C148" s="36" t="str">
        <v>KARANGANYAR</v>
      </c>
      <c r="D148" s="43">
        <v>481</v>
      </c>
      <c r="E148" s="25">
        <v>50</v>
      </c>
      <c r="F148" s="43">
        <v>481</v>
      </c>
      <c r="G148" s="25">
        <v>50</v>
      </c>
      <c r="H148" s="26">
        <v>962</v>
      </c>
      <c r="I148" s="54">
        <v>100</v>
      </c>
    </row>
    <row r="149" spans="1:9" ht="15" customHeight="1" x14ac:dyDescent="0.25">
      <c r="A149" s="36">
        <v>116</v>
      </c>
      <c r="B149" s="35" t="str">
        <v>2018</v>
      </c>
      <c r="C149" s="36" t="str">
        <v>GUNUNGGIANA</v>
      </c>
      <c r="D149" s="43">
        <v>1312</v>
      </c>
      <c r="E149" s="25">
        <v>50.793650793650791</v>
      </c>
      <c r="F149" s="43">
        <v>1271</v>
      </c>
      <c r="G149" s="25">
        <v>49.206349206349202</v>
      </c>
      <c r="H149" s="26">
        <v>2583</v>
      </c>
      <c r="I149" s="54">
        <v>100</v>
      </c>
    </row>
    <row r="150" spans="1:9" ht="15" customHeight="1" x14ac:dyDescent="0.25">
      <c r="A150" s="36">
        <v>117</v>
      </c>
      <c r="B150" s="35" t="str">
        <v>2019</v>
      </c>
      <c r="C150" s="36" t="str">
        <v>CLAPAR</v>
      </c>
      <c r="D150" s="43">
        <v>1194</v>
      </c>
      <c r="E150" s="25">
        <v>50.70063694267516</v>
      </c>
      <c r="F150" s="22">
        <v>1161</v>
      </c>
      <c r="G150" s="25">
        <v>49.29936305732484</v>
      </c>
      <c r="H150" s="26">
        <v>2355</v>
      </c>
      <c r="I150" s="54">
        <v>100</v>
      </c>
    </row>
    <row r="151" spans="1:9" ht="15" customHeight="1" x14ac:dyDescent="0.25">
      <c r="A151" s="36">
        <v>118</v>
      </c>
      <c r="B151" s="35" t="str">
        <v>2020</v>
      </c>
      <c r="C151" s="36" t="str">
        <v>PAKELEN</v>
      </c>
      <c r="D151" s="44">
        <v>788</v>
      </c>
      <c r="E151" s="25">
        <v>51.808021038790272</v>
      </c>
      <c r="F151" s="38">
        <v>733</v>
      </c>
      <c r="G151" s="25">
        <v>48.191978961209728</v>
      </c>
      <c r="H151" s="26">
        <v>1521</v>
      </c>
      <c r="I151" s="54">
        <v>100</v>
      </c>
    </row>
    <row r="152" spans="1:9" ht="15" customHeight="1" x14ac:dyDescent="0.25">
      <c r="A152" s="78" t="s">
        <v>574</v>
      </c>
      <c r="B152" s="78"/>
      <c r="C152" s="78"/>
      <c r="D152" s="39">
        <f>SUM(D132:D151)</f>
        <v>24086</v>
      </c>
      <c r="E152" s="40">
        <f>D152/$H$152*100</f>
        <v>50.913164792424112</v>
      </c>
      <c r="F152" s="39">
        <f>SUM(F132:F151)</f>
        <v>23222</v>
      </c>
      <c r="G152" s="40">
        <f>F152/$H$152*100</f>
        <v>49.086835207575888</v>
      </c>
      <c r="H152" s="39">
        <f>SUM(H132:H151)</f>
        <v>47308</v>
      </c>
      <c r="I152" s="41">
        <f>H152/$H$152*100</f>
        <v>100</v>
      </c>
    </row>
    <row r="153" spans="1:9" ht="15" customHeight="1" x14ac:dyDescent="0.25">
      <c r="A153" s="86" t="s">
        <v>594</v>
      </c>
      <c r="B153" s="86"/>
      <c r="C153" s="86"/>
      <c r="D153" s="86"/>
      <c r="E153" s="86"/>
      <c r="F153" s="86"/>
      <c r="G153" s="86"/>
      <c r="H153" s="86"/>
      <c r="I153" s="86"/>
    </row>
    <row r="154" spans="1:9" ht="15" customHeight="1" x14ac:dyDescent="0.25">
      <c r="A154" s="83" t="s">
        <v>570</v>
      </c>
      <c r="B154" s="83" t="s">
        <v>585</v>
      </c>
      <c r="C154" s="83"/>
      <c r="D154" s="84" t="s">
        <v>572</v>
      </c>
      <c r="E154" s="84"/>
      <c r="F154" s="84" t="s">
        <v>573</v>
      </c>
      <c r="G154" s="84"/>
      <c r="H154" s="85" t="s">
        <v>574</v>
      </c>
      <c r="I154" s="85"/>
    </row>
    <row r="155" spans="1:9" ht="15" customHeight="1" x14ac:dyDescent="0.25">
      <c r="A155" s="83"/>
      <c r="B155" s="32" t="s">
        <v>575</v>
      </c>
      <c r="C155" s="32" t="s">
        <v>576</v>
      </c>
      <c r="D155" s="33" t="s">
        <v>574</v>
      </c>
      <c r="E155" s="33" t="s">
        <v>577</v>
      </c>
      <c r="F155" s="33" t="s">
        <v>574</v>
      </c>
      <c r="G155" s="33" t="s">
        <v>577</v>
      </c>
      <c r="H155" s="34" t="s">
        <v>586</v>
      </c>
      <c r="I155" s="34" t="s">
        <v>577</v>
      </c>
    </row>
    <row r="156" spans="1:9" ht="15" customHeight="1" x14ac:dyDescent="0.25">
      <c r="A156" s="35">
        <v>119</v>
      </c>
      <c r="B156" s="35" t="str" cm="1">
        <f t="array" ref="B156:B172">RIGHT(_xlfn._xlws.FILTER('AGR_JK_3304_KAB. BANJARNEGARA'!$B$3:$B$300,(LEN('AGR_JK_3304_KAB. BANJARNEGARA'!$B$3:$B$300)=13)*(LEFT('AGR_JK_3304_KAB. BANJARNEGARA'!$B$3:$B$300,8)=MID(A153,13,8))),4)</f>
        <v>2001</v>
      </c>
      <c r="C156" s="36" t="str" cm="1">
        <f t="array" ref="C156:D172">_xlfn._xlws.FILTER('AGR_JK_3304_KAB. BANJARNEGARA'!$C$3:$D$300,(LEN('AGR_JK_3304_KAB. BANJARNEGARA'!$B$3:$B$300)=13)*(LEFT('AGR_JK_3304_KAB. BANJARNEGARA'!$B$3:$B$300,8)=MID(A153,13,8)))</f>
        <v>JENGGAWUR</v>
      </c>
      <c r="D156" s="22">
        <v>1355</v>
      </c>
      <c r="E156" s="25" cm="1">
        <f t="array" ref="E156:E172">D156:D172/$H$156:$H$172*100</f>
        <v>49.61552544855364</v>
      </c>
      <c r="F156" s="22" cm="1">
        <f t="array" ref="F156:F172">_xlfn._xlws.FILTER('AGR_JK_3304_KAB. BANJARNEGARA'!$E$3:$E$300,(LEN('AGR_JK_3304_KAB. BANJARNEGARA'!$B$3:$B$300)=13)*(LEFT('AGR_JK_3304_KAB. BANJARNEGARA'!$B$3:$B$300,8)=MID(A153,13,8)))</f>
        <v>1376</v>
      </c>
      <c r="G156" s="25" cm="1">
        <f t="array" ref="G156:G172">F156:F172/$H$156:$H$172*100</f>
        <v>50.38447455144636</v>
      </c>
      <c r="H156" s="26" cm="1">
        <f t="array" ref="H156:H172">_xlfn._xlws.FILTER('AGR_JK_3304_KAB. BANJARNEGARA'!$F$3:$F$300,(LEN('AGR_JK_3304_KAB. BANJARNEGARA'!$B$3:$B$300)=13)*(LEFT('AGR_JK_3304_KAB. BANJARNEGARA'!$B$3:$B$300,8)=MID(A153,13,8)))</f>
        <v>2731</v>
      </c>
      <c r="I156" s="54" cm="1">
        <f t="array" ref="I156:I172">H156:H172/$H$156:$H$172*100</f>
        <v>100</v>
      </c>
    </row>
    <row r="157" spans="1:9" ht="15" customHeight="1" x14ac:dyDescent="0.25">
      <c r="A157" s="35">
        <v>120</v>
      </c>
      <c r="B157" s="35" t="str">
        <v>2002</v>
      </c>
      <c r="C157" s="36" t="str">
        <v>BANJARKULON</v>
      </c>
      <c r="D157" s="43">
        <v>1184</v>
      </c>
      <c r="E157" s="25">
        <v>50.254668930390487</v>
      </c>
      <c r="F157" s="43">
        <v>1172</v>
      </c>
      <c r="G157" s="25">
        <v>49.745331069609506</v>
      </c>
      <c r="H157" s="26">
        <v>2356</v>
      </c>
      <c r="I157" s="54">
        <v>100</v>
      </c>
    </row>
    <row r="158" spans="1:9" ht="15" customHeight="1" x14ac:dyDescent="0.25">
      <c r="A158" s="35">
        <v>121</v>
      </c>
      <c r="B158" s="35" t="str">
        <v>2003</v>
      </c>
      <c r="C158" s="36" t="str">
        <v>BANJARMANGU</v>
      </c>
      <c r="D158" s="43">
        <v>1747</v>
      </c>
      <c r="E158" s="25">
        <v>50.992410974897837</v>
      </c>
      <c r="F158" s="43">
        <v>1679</v>
      </c>
      <c r="G158" s="25">
        <v>49.007589025102163</v>
      </c>
      <c r="H158" s="26">
        <v>3426</v>
      </c>
      <c r="I158" s="54">
        <v>100</v>
      </c>
    </row>
    <row r="159" spans="1:9" ht="15" customHeight="1" x14ac:dyDescent="0.25">
      <c r="A159" s="35">
        <v>122</v>
      </c>
      <c r="B159" s="35" t="str">
        <v>2004</v>
      </c>
      <c r="C159" s="36" t="str">
        <v>REJASARI</v>
      </c>
      <c r="D159" s="43">
        <v>1280</v>
      </c>
      <c r="E159" s="25">
        <v>52.502050861361774</v>
      </c>
      <c r="F159" s="43">
        <v>1158</v>
      </c>
      <c r="G159" s="25">
        <v>47.497949138638226</v>
      </c>
      <c r="H159" s="26">
        <v>2438</v>
      </c>
      <c r="I159" s="54">
        <v>100</v>
      </c>
    </row>
    <row r="160" spans="1:9" ht="15" customHeight="1" x14ac:dyDescent="0.25">
      <c r="A160" s="35">
        <v>123</v>
      </c>
      <c r="B160" s="35" t="str">
        <v>2005</v>
      </c>
      <c r="C160" s="36" t="str">
        <v>KESENET</v>
      </c>
      <c r="D160" s="44">
        <v>2131</v>
      </c>
      <c r="E160" s="25">
        <v>50.738095238095241</v>
      </c>
      <c r="F160" s="44">
        <v>2069</v>
      </c>
      <c r="G160" s="25">
        <v>49.261904761904759</v>
      </c>
      <c r="H160" s="26">
        <v>4200</v>
      </c>
      <c r="I160" s="54">
        <v>100</v>
      </c>
    </row>
    <row r="161" spans="1:9" ht="15" customHeight="1" x14ac:dyDescent="0.25">
      <c r="A161" s="35">
        <v>124</v>
      </c>
      <c r="B161" s="35" t="str">
        <v>2006</v>
      </c>
      <c r="C161" s="36" t="str">
        <v>KALILUNJAR</v>
      </c>
      <c r="D161" s="43">
        <v>1578</v>
      </c>
      <c r="E161" s="25">
        <v>51.034928848641655</v>
      </c>
      <c r="F161" s="43">
        <v>1514</v>
      </c>
      <c r="G161" s="25">
        <v>48.965071151358345</v>
      </c>
      <c r="H161" s="26">
        <v>3092</v>
      </c>
      <c r="I161" s="54">
        <v>100</v>
      </c>
    </row>
    <row r="162" spans="1:9" ht="15" customHeight="1" x14ac:dyDescent="0.25">
      <c r="A162" s="35">
        <v>125</v>
      </c>
      <c r="B162" s="35" t="str">
        <v>2007</v>
      </c>
      <c r="C162" s="36" t="str">
        <v>SIJERUK</v>
      </c>
      <c r="D162" s="44">
        <v>1259</v>
      </c>
      <c r="E162" s="25">
        <v>51.746814632141394</v>
      </c>
      <c r="F162" s="44">
        <v>1174</v>
      </c>
      <c r="G162" s="25">
        <v>48.253185367858606</v>
      </c>
      <c r="H162" s="26">
        <v>2433</v>
      </c>
      <c r="I162" s="54">
        <v>100</v>
      </c>
    </row>
    <row r="163" spans="1:9" ht="15" customHeight="1" x14ac:dyDescent="0.25">
      <c r="A163" s="35">
        <v>126</v>
      </c>
      <c r="B163" s="35" t="str">
        <v>2008</v>
      </c>
      <c r="C163" s="36" t="str">
        <v>KENDAGA</v>
      </c>
      <c r="D163" s="44">
        <v>2040</v>
      </c>
      <c r="E163" s="25">
        <v>52.014278429372773</v>
      </c>
      <c r="F163" s="44">
        <v>1882</v>
      </c>
      <c r="G163" s="25">
        <v>47.985721570627234</v>
      </c>
      <c r="H163" s="26">
        <v>3922</v>
      </c>
      <c r="I163" s="54">
        <v>100</v>
      </c>
    </row>
    <row r="164" spans="1:9" ht="15" customHeight="1" x14ac:dyDescent="0.25">
      <c r="A164" s="35">
        <v>127</v>
      </c>
      <c r="B164" s="35" t="str">
        <v>2009</v>
      </c>
      <c r="C164" s="36" t="str">
        <v>GRIPIT</v>
      </c>
      <c r="D164" s="43">
        <v>574</v>
      </c>
      <c r="E164" s="25">
        <v>49.482758620689651</v>
      </c>
      <c r="F164" s="43">
        <v>586</v>
      </c>
      <c r="G164" s="25">
        <v>50.517241379310342</v>
      </c>
      <c r="H164" s="26">
        <v>1160</v>
      </c>
      <c r="I164" s="54">
        <v>100</v>
      </c>
    </row>
    <row r="165" spans="1:9" ht="15" customHeight="1" x14ac:dyDescent="0.25">
      <c r="A165" s="35">
        <v>128</v>
      </c>
      <c r="B165" s="35" t="str">
        <v>2010</v>
      </c>
      <c r="C165" s="36" t="str">
        <v>PEKANDANGAN</v>
      </c>
      <c r="D165" s="44">
        <v>1224</v>
      </c>
      <c r="E165" s="25">
        <v>50.978758850478968</v>
      </c>
      <c r="F165" s="44">
        <v>1177</v>
      </c>
      <c r="G165" s="25">
        <v>49.021241149521032</v>
      </c>
      <c r="H165" s="26">
        <v>2401</v>
      </c>
      <c r="I165" s="54">
        <v>100</v>
      </c>
    </row>
    <row r="166" spans="1:9" ht="15" customHeight="1" x14ac:dyDescent="0.25">
      <c r="A166" s="35">
        <v>129</v>
      </c>
      <c r="B166" s="35" t="str">
        <v>2011</v>
      </c>
      <c r="C166" s="36" t="str">
        <v>SIGEBLOG</v>
      </c>
      <c r="D166" s="43">
        <v>2196</v>
      </c>
      <c r="E166" s="25">
        <v>52.186311787072249</v>
      </c>
      <c r="F166" s="43">
        <v>2012</v>
      </c>
      <c r="G166" s="25">
        <v>47.813688212927758</v>
      </c>
      <c r="H166" s="26">
        <v>4208</v>
      </c>
      <c r="I166" s="54">
        <v>100</v>
      </c>
    </row>
    <row r="167" spans="1:9" ht="15" customHeight="1" x14ac:dyDescent="0.25">
      <c r="A167" s="35">
        <v>130</v>
      </c>
      <c r="B167" s="35" t="str">
        <v>2012</v>
      </c>
      <c r="C167" s="36" t="str">
        <v>PASEH</v>
      </c>
      <c r="D167" s="43">
        <v>1591</v>
      </c>
      <c r="E167" s="25">
        <v>51.655844155844157</v>
      </c>
      <c r="F167" s="43">
        <v>1489</v>
      </c>
      <c r="G167" s="25">
        <v>48.344155844155843</v>
      </c>
      <c r="H167" s="26">
        <v>3080</v>
      </c>
      <c r="I167" s="54">
        <v>100</v>
      </c>
    </row>
    <row r="168" spans="1:9" ht="15" customHeight="1" x14ac:dyDescent="0.25">
      <c r="A168" s="35">
        <v>131</v>
      </c>
      <c r="B168" s="35" t="str">
        <v>2013</v>
      </c>
      <c r="C168" s="36" t="str">
        <v>SIPEDANG</v>
      </c>
      <c r="D168" s="43">
        <v>2102</v>
      </c>
      <c r="E168" s="25">
        <v>51.811683509982743</v>
      </c>
      <c r="F168" s="43">
        <v>1955</v>
      </c>
      <c r="G168" s="25">
        <v>48.18831649001725</v>
      </c>
      <c r="H168" s="26">
        <v>4057</v>
      </c>
      <c r="I168" s="54">
        <v>100</v>
      </c>
    </row>
    <row r="169" spans="1:9" ht="15" customHeight="1" x14ac:dyDescent="0.25">
      <c r="A169" s="35">
        <v>132</v>
      </c>
      <c r="B169" s="35" t="str">
        <v>2014</v>
      </c>
      <c r="C169" s="36" t="str">
        <v>SIJENGGUNG</v>
      </c>
      <c r="D169" s="43">
        <v>945</v>
      </c>
      <c r="E169" s="25">
        <v>49.815498154981555</v>
      </c>
      <c r="F169" s="43">
        <v>952</v>
      </c>
      <c r="G169" s="25">
        <v>50.184501845018445</v>
      </c>
      <c r="H169" s="26">
        <v>1897</v>
      </c>
      <c r="I169" s="54">
        <v>100</v>
      </c>
    </row>
    <row r="170" spans="1:9" ht="15" customHeight="1" x14ac:dyDescent="0.25">
      <c r="A170" s="35">
        <v>133</v>
      </c>
      <c r="B170" s="35" t="str">
        <v>2015</v>
      </c>
      <c r="C170" s="36" t="str">
        <v>BEJI</v>
      </c>
      <c r="D170" s="44">
        <v>1464</v>
      </c>
      <c r="E170" s="25">
        <v>50.27472527472527</v>
      </c>
      <c r="F170" s="44">
        <v>1448</v>
      </c>
      <c r="G170" s="25">
        <v>49.72527472527473</v>
      </c>
      <c r="H170" s="26">
        <v>2912</v>
      </c>
      <c r="I170" s="54">
        <v>100</v>
      </c>
    </row>
    <row r="171" spans="1:9" ht="15" customHeight="1" x14ac:dyDescent="0.25">
      <c r="A171" s="35">
        <v>134</v>
      </c>
      <c r="B171" s="35" t="str">
        <v>2016</v>
      </c>
      <c r="C171" s="36" t="str">
        <v>PRENDENGAN</v>
      </c>
      <c r="D171" s="22">
        <v>1259</v>
      </c>
      <c r="E171" s="46">
        <v>51.832029641827916</v>
      </c>
      <c r="F171" s="22">
        <v>1170</v>
      </c>
      <c r="G171" s="46">
        <v>48.167970358172084</v>
      </c>
      <c r="H171" s="26">
        <v>2429</v>
      </c>
      <c r="I171" s="56">
        <v>100</v>
      </c>
    </row>
    <row r="172" spans="1:9" ht="15" customHeight="1" x14ac:dyDescent="0.25">
      <c r="A172" s="35">
        <v>135</v>
      </c>
      <c r="B172" s="35" t="str">
        <v>2017</v>
      </c>
      <c r="C172" s="36" t="str">
        <v>MAJATENGAH</v>
      </c>
      <c r="D172" s="38">
        <v>560</v>
      </c>
      <c r="E172" s="46">
        <v>51.04831358249772</v>
      </c>
      <c r="F172" s="38">
        <v>537</v>
      </c>
      <c r="G172" s="46">
        <v>48.95168641750228</v>
      </c>
      <c r="H172" s="26">
        <v>1097</v>
      </c>
      <c r="I172" s="56">
        <v>100</v>
      </c>
    </row>
    <row r="173" spans="1:9" ht="15" customHeight="1" x14ac:dyDescent="0.25">
      <c r="A173" s="78" t="s">
        <v>574</v>
      </c>
      <c r="B173" s="78"/>
      <c r="C173" s="78"/>
      <c r="D173" s="39">
        <f>SUM(D156:D172)</f>
        <v>24489</v>
      </c>
      <c r="E173" s="40">
        <f>D173/$H$173*100</f>
        <v>51.190451305420261</v>
      </c>
      <c r="F173" s="39">
        <f>SUM(F156:F172)</f>
        <v>23350</v>
      </c>
      <c r="G173" s="40">
        <f>F173/$H$173*100</f>
        <v>48.809548694579732</v>
      </c>
      <c r="H173" s="39">
        <f>SUM(H156:H172)</f>
        <v>47839</v>
      </c>
      <c r="I173" s="41">
        <f>H173/$H$173*100</f>
        <v>100</v>
      </c>
    </row>
    <row r="174" spans="1:9" ht="15" customHeight="1" x14ac:dyDescent="0.25">
      <c r="A174" s="86" t="s">
        <v>595</v>
      </c>
      <c r="B174" s="86"/>
      <c r="C174" s="86"/>
      <c r="D174" s="86"/>
      <c r="E174" s="86"/>
      <c r="F174" s="86"/>
      <c r="G174" s="86"/>
      <c r="H174" s="86"/>
      <c r="I174" s="86"/>
    </row>
    <row r="175" spans="1:9" ht="15" customHeight="1" x14ac:dyDescent="0.25">
      <c r="A175" s="83" t="s">
        <v>570</v>
      </c>
      <c r="B175" s="83" t="s">
        <v>585</v>
      </c>
      <c r="C175" s="83"/>
      <c r="D175" s="84" t="s">
        <v>572</v>
      </c>
      <c r="E175" s="84"/>
      <c r="F175" s="84" t="s">
        <v>573</v>
      </c>
      <c r="G175" s="84"/>
      <c r="H175" s="85" t="s">
        <v>574</v>
      </c>
      <c r="I175" s="85"/>
    </row>
    <row r="176" spans="1:9" ht="15" customHeight="1" x14ac:dyDescent="0.25">
      <c r="A176" s="83"/>
      <c r="B176" s="32" t="s">
        <v>575</v>
      </c>
      <c r="C176" s="32" t="s">
        <v>576</v>
      </c>
      <c r="D176" s="33" t="s">
        <v>574</v>
      </c>
      <c r="E176" s="33" t="s">
        <v>577</v>
      </c>
      <c r="F176" s="33" t="s">
        <v>574</v>
      </c>
      <c r="G176" s="33" t="s">
        <v>577</v>
      </c>
      <c r="H176" s="34" t="s">
        <v>586</v>
      </c>
      <c r="I176" s="34" t="s">
        <v>577</v>
      </c>
    </row>
    <row r="177" spans="1:9" ht="15" customHeight="1" x14ac:dyDescent="0.25">
      <c r="A177" s="35">
        <v>136</v>
      </c>
      <c r="B177" s="35" t="str" cm="1">
        <f t="array" ref="B177:B187">RIGHT(_xlfn._xlws.FILTER('AGR_JK_3304_KAB. BANJARNEGARA'!$B$3:$B$300,(LEN('AGR_JK_3304_KAB. BANJARNEGARA'!$B$3:$B$300)=13)*(LEFT('AGR_JK_3304_KAB. BANJARNEGARA'!$B$3:$B$300,8)=MID(A174,13,8))),4)</f>
        <v>2001</v>
      </c>
      <c r="C177" s="36" t="str" cm="1">
        <f t="array" ref="C177:D187">_xlfn._xlws.FILTER('AGR_JK_3304_KAB. BANJARNEGARA'!$C$3:$D$300,(LEN('AGR_JK_3304_KAB. BANJARNEGARA'!$B$3:$B$300)=13)*(LEFT('AGR_JK_3304_KAB. BANJARNEGARA'!$B$3:$B$300,8)=MID(A174,13,8)))</f>
        <v>KASILIB</v>
      </c>
      <c r="D177" s="22">
        <v>1399</v>
      </c>
      <c r="E177" s="25" cm="1">
        <f t="array" ref="E177:E187">D177:D187/$H$177:$H$187*100</f>
        <v>50.215362526920316</v>
      </c>
      <c r="F177" s="22" cm="1">
        <f t="array" ref="F177:F187">_xlfn._xlws.FILTER('AGR_JK_3304_KAB. BANJARNEGARA'!$E$3:$E$300,(LEN('AGR_JK_3304_KAB. BANJARNEGARA'!$B$3:$B$300)=13)*(LEFT('AGR_JK_3304_KAB. BANJARNEGARA'!$B$3:$B$300,8)=MID(A174,13,8)))</f>
        <v>1387</v>
      </c>
      <c r="G177" s="25" cm="1">
        <f t="array" ref="G177:G187">F177:F187/$H$177:$H$187*100</f>
        <v>49.784637473079684</v>
      </c>
      <c r="H177" s="26" cm="1">
        <f t="array" ref="H177:H187">_xlfn._xlws.FILTER('AGR_JK_3304_KAB. BANJARNEGARA'!$F$3:$F$300,(LEN('AGR_JK_3304_KAB. BANJARNEGARA'!$B$3:$B$300)=13)*(LEFT('AGR_JK_3304_KAB. BANJARNEGARA'!$B$3:$B$300,8)=MID(A174,13,8)))</f>
        <v>2786</v>
      </c>
      <c r="I177" s="54" cm="1">
        <f t="array" ref="I177:I187">H177:H187/$H$177:$H$187*100</f>
        <v>100</v>
      </c>
    </row>
    <row r="178" spans="1:9" ht="15" customHeight="1" x14ac:dyDescent="0.25">
      <c r="A178" s="35">
        <v>137</v>
      </c>
      <c r="B178" s="35" t="str">
        <v>2002</v>
      </c>
      <c r="C178" s="36" t="str">
        <v>TAPEN</v>
      </c>
      <c r="D178" s="43">
        <v>1266</v>
      </c>
      <c r="E178" s="25">
        <v>49.08879410624273</v>
      </c>
      <c r="F178" s="43">
        <v>1313</v>
      </c>
      <c r="G178" s="25">
        <v>50.91120589375727</v>
      </c>
      <c r="H178" s="26">
        <v>2579</v>
      </c>
      <c r="I178" s="54">
        <v>100</v>
      </c>
    </row>
    <row r="179" spans="1:9" ht="15" customHeight="1" x14ac:dyDescent="0.25">
      <c r="A179" s="35">
        <v>138</v>
      </c>
      <c r="B179" s="35" t="str">
        <v>2003</v>
      </c>
      <c r="C179" s="36" t="str">
        <v>KARANGJAMBE</v>
      </c>
      <c r="D179" s="43">
        <v>1086</v>
      </c>
      <c r="E179" s="25">
        <v>49.566408032861709</v>
      </c>
      <c r="F179" s="43">
        <v>1105</v>
      </c>
      <c r="G179" s="25">
        <v>50.433591967138291</v>
      </c>
      <c r="H179" s="26">
        <v>2191</v>
      </c>
      <c r="I179" s="54">
        <v>100</v>
      </c>
    </row>
    <row r="180" spans="1:9" ht="15" customHeight="1" x14ac:dyDescent="0.25">
      <c r="A180" s="35">
        <v>139</v>
      </c>
      <c r="B180" s="35" t="str">
        <v>2004</v>
      </c>
      <c r="C180" s="36" t="str">
        <v>WANADADI</v>
      </c>
      <c r="D180" s="43">
        <v>1671</v>
      </c>
      <c r="E180" s="25">
        <v>49.204946996466433</v>
      </c>
      <c r="F180" s="43">
        <v>1725</v>
      </c>
      <c r="G180" s="25">
        <v>50.79505300353356</v>
      </c>
      <c r="H180" s="26">
        <v>3396</v>
      </c>
      <c r="I180" s="54">
        <v>100</v>
      </c>
    </row>
    <row r="181" spans="1:9" ht="15" customHeight="1" x14ac:dyDescent="0.25">
      <c r="A181" s="35">
        <v>140</v>
      </c>
      <c r="B181" s="35" t="str">
        <v>2005</v>
      </c>
      <c r="C181" s="36" t="str">
        <v>WANAKARSA</v>
      </c>
      <c r="D181" s="44">
        <v>1786</v>
      </c>
      <c r="E181" s="25">
        <v>51.072347726622823</v>
      </c>
      <c r="F181" s="44">
        <v>1711</v>
      </c>
      <c r="G181" s="25">
        <v>48.927652273377184</v>
      </c>
      <c r="H181" s="26">
        <v>3497</v>
      </c>
      <c r="I181" s="54">
        <v>100</v>
      </c>
    </row>
    <row r="182" spans="1:9" ht="15" customHeight="1" x14ac:dyDescent="0.25">
      <c r="A182" s="35">
        <v>141</v>
      </c>
      <c r="B182" s="35" t="str">
        <v>2006</v>
      </c>
      <c r="C182" s="36" t="str">
        <v>LEMAHJAYA</v>
      </c>
      <c r="D182" s="43">
        <v>3226</v>
      </c>
      <c r="E182" s="25">
        <v>51.541779837034674</v>
      </c>
      <c r="F182" s="43">
        <v>3033</v>
      </c>
      <c r="G182" s="25">
        <v>48.458220162965333</v>
      </c>
      <c r="H182" s="26">
        <v>6259</v>
      </c>
      <c r="I182" s="54">
        <v>100</v>
      </c>
    </row>
    <row r="183" spans="1:9" ht="15" customHeight="1" x14ac:dyDescent="0.25">
      <c r="A183" s="35">
        <v>142</v>
      </c>
      <c r="B183" s="35" t="str">
        <v>2007</v>
      </c>
      <c r="C183" s="36" t="str">
        <v>KARANGKEMIRI</v>
      </c>
      <c r="D183" s="44">
        <v>1638</v>
      </c>
      <c r="E183" s="25">
        <v>51.043938921782484</v>
      </c>
      <c r="F183" s="44">
        <v>1571</v>
      </c>
      <c r="G183" s="25">
        <v>48.956061078217509</v>
      </c>
      <c r="H183" s="26">
        <v>3209</v>
      </c>
      <c r="I183" s="54">
        <v>100</v>
      </c>
    </row>
    <row r="184" spans="1:9" ht="15" customHeight="1" x14ac:dyDescent="0.25">
      <c r="A184" s="35">
        <v>143</v>
      </c>
      <c r="B184" s="35" t="str">
        <v>2008</v>
      </c>
      <c r="C184" s="36" t="str">
        <v>KANDANGWANGI</v>
      </c>
      <c r="D184" s="44">
        <v>1996</v>
      </c>
      <c r="E184" s="25">
        <v>50.72426937738247</v>
      </c>
      <c r="F184" s="44">
        <v>1939</v>
      </c>
      <c r="G184" s="25">
        <v>49.275730622617537</v>
      </c>
      <c r="H184" s="26">
        <v>3935</v>
      </c>
      <c r="I184" s="54">
        <v>100</v>
      </c>
    </row>
    <row r="185" spans="1:9" ht="15" customHeight="1" x14ac:dyDescent="0.25">
      <c r="A185" s="35">
        <v>144</v>
      </c>
      <c r="B185" s="35" t="str">
        <v>2009</v>
      </c>
      <c r="C185" s="36" t="str">
        <v>MEDAYU</v>
      </c>
      <c r="D185" s="43">
        <v>1547</v>
      </c>
      <c r="E185" s="25">
        <v>49.887133182844245</v>
      </c>
      <c r="F185" s="43">
        <v>1554</v>
      </c>
      <c r="G185" s="25">
        <v>50.112866817155755</v>
      </c>
      <c r="H185" s="26">
        <v>3101</v>
      </c>
      <c r="I185" s="54">
        <v>100</v>
      </c>
    </row>
    <row r="186" spans="1:9" ht="15" customHeight="1" x14ac:dyDescent="0.25">
      <c r="A186" s="35">
        <v>145</v>
      </c>
      <c r="B186" s="35" t="str">
        <v>2010</v>
      </c>
      <c r="C186" s="36" t="str">
        <v>LINGGASARI</v>
      </c>
      <c r="D186" s="44">
        <v>1531</v>
      </c>
      <c r="E186" s="25">
        <v>50.56142668428005</v>
      </c>
      <c r="F186" s="44">
        <v>1497</v>
      </c>
      <c r="G186" s="25">
        <v>49.43857331571995</v>
      </c>
      <c r="H186" s="26">
        <v>3028</v>
      </c>
      <c r="I186" s="54">
        <v>100</v>
      </c>
    </row>
    <row r="187" spans="1:9" ht="15" customHeight="1" x14ac:dyDescent="0.25">
      <c r="A187" s="35">
        <v>146</v>
      </c>
      <c r="B187" s="35" t="str">
        <v>2011</v>
      </c>
      <c r="C187" s="36" t="str">
        <v>GUMINGSIR</v>
      </c>
      <c r="D187" s="43">
        <v>880</v>
      </c>
      <c r="E187" s="25">
        <v>51.073708647707484</v>
      </c>
      <c r="F187" s="43">
        <v>843</v>
      </c>
      <c r="G187" s="25">
        <v>48.926291352292509</v>
      </c>
      <c r="H187" s="26">
        <v>1723</v>
      </c>
      <c r="I187" s="54">
        <v>100</v>
      </c>
    </row>
    <row r="188" spans="1:9" ht="15" customHeight="1" x14ac:dyDescent="0.25">
      <c r="A188" s="78" t="s">
        <v>574</v>
      </c>
      <c r="B188" s="78"/>
      <c r="C188" s="78"/>
      <c r="D188" s="39">
        <f>SUM(D177:D187)</f>
        <v>18026</v>
      </c>
      <c r="E188" s="40">
        <f>D188/$H$188*100</f>
        <v>50.48734035402196</v>
      </c>
      <c r="F188" s="39">
        <f>SUM(F177:F187)</f>
        <v>17678</v>
      </c>
      <c r="G188" s="40">
        <f>F188/$H$188*100</f>
        <v>49.51265964597804</v>
      </c>
      <c r="H188" s="39">
        <f>SUM(H177:H187)</f>
        <v>35704</v>
      </c>
      <c r="I188" s="41">
        <f>H188/$H$188*100</f>
        <v>100</v>
      </c>
    </row>
    <row r="189" spans="1:9" ht="15" customHeight="1" x14ac:dyDescent="0.25">
      <c r="A189" s="86" t="s">
        <v>596</v>
      </c>
      <c r="B189" s="86"/>
      <c r="C189" s="86"/>
      <c r="D189" s="86"/>
      <c r="E189" s="86"/>
      <c r="F189" s="86"/>
      <c r="G189" s="86"/>
      <c r="H189" s="86"/>
      <c r="I189" s="86"/>
    </row>
    <row r="190" spans="1:9" ht="15" customHeight="1" x14ac:dyDescent="0.25">
      <c r="A190" s="83" t="s">
        <v>570</v>
      </c>
      <c r="B190" s="83" t="s">
        <v>585</v>
      </c>
      <c r="C190" s="83"/>
      <c r="D190" s="84" t="s">
        <v>572</v>
      </c>
      <c r="E190" s="84"/>
      <c r="F190" s="84" t="s">
        <v>573</v>
      </c>
      <c r="G190" s="84"/>
      <c r="H190" s="85" t="s">
        <v>574</v>
      </c>
      <c r="I190" s="85"/>
    </row>
    <row r="191" spans="1:9" ht="15" customHeight="1" x14ac:dyDescent="0.25">
      <c r="A191" s="83"/>
      <c r="B191" s="32" t="s">
        <v>575</v>
      </c>
      <c r="C191" s="32" t="s">
        <v>576</v>
      </c>
      <c r="D191" s="33" t="s">
        <v>574</v>
      </c>
      <c r="E191" s="33" t="s">
        <v>577</v>
      </c>
      <c r="F191" s="33" t="s">
        <v>574</v>
      </c>
      <c r="G191" s="33" t="s">
        <v>577</v>
      </c>
      <c r="H191" s="34" t="s">
        <v>586</v>
      </c>
      <c r="I191" s="34" t="s">
        <v>577</v>
      </c>
    </row>
    <row r="192" spans="1:9" ht="15" customHeight="1" x14ac:dyDescent="0.25">
      <c r="A192" s="35">
        <v>147</v>
      </c>
      <c r="B192" s="35" t="str" cm="1">
        <f t="array" ref="B192:B202">RIGHT(_xlfn._xlws.FILTER('AGR_JK_3304_KAB. BANJARNEGARA'!$B$3:$B$300,(LEN('AGR_JK_3304_KAB. BANJARNEGARA'!$B$3:$B$300)=13)*(LEFT('AGR_JK_3304_KAB. BANJARNEGARA'!$B$3:$B$300,8)=MID(A189,13,8))),4)</f>
        <v>2001</v>
      </c>
      <c r="C192" s="36" t="str" cm="1">
        <f t="array" ref="C192:D202">_xlfn._xlws.FILTER('AGR_JK_3304_KAB. BANJARNEGARA'!$C$3:$D$300,(LEN('AGR_JK_3304_KAB. BANJARNEGARA'!$B$3:$B$300)=13)*(LEFT('AGR_JK_3304_KAB. BANJARNEGARA'!$B$3:$B$300,8)=MID(A189,13,8)))</f>
        <v>PINGIT</v>
      </c>
      <c r="D192" s="22">
        <v>3232</v>
      </c>
      <c r="E192" s="25" cm="1">
        <f t="array" ref="E192:E202">D192:D202/$H$192:$H$202*100</f>
        <v>49.80736631222068</v>
      </c>
      <c r="F192" s="22" cm="1">
        <f t="array" ref="F192:F202">_xlfn._xlws.FILTER('AGR_JK_3304_KAB. BANJARNEGARA'!$E$3:$E$300,(LEN('AGR_JK_3304_KAB. BANJARNEGARA'!$B$3:$B$300)=13)*(LEFT('AGR_JK_3304_KAB. BANJARNEGARA'!$B$3:$B$300,8)=MID(A189,13,8)))</f>
        <v>3257</v>
      </c>
      <c r="G192" s="25" cm="1">
        <f t="array" ref="G192:G202">F192:F202/$H$192:$H$202*100</f>
        <v>50.19263368777932</v>
      </c>
      <c r="H192" s="26" cm="1">
        <f t="array" ref="H192:H202">_xlfn._xlws.FILTER('AGR_JK_3304_KAB. BANJARNEGARA'!$F$3:$F$300,(LEN('AGR_JK_3304_KAB. BANJARNEGARA'!$B$3:$B$300)=13)*(LEFT('AGR_JK_3304_KAB. BANJARNEGARA'!$B$3:$B$300,8)=MID(A189,13,8)))</f>
        <v>6489</v>
      </c>
      <c r="I192" s="54" cm="1">
        <f t="array" ref="I192:I202">H192:H202/$H$192:$H$202*100</f>
        <v>100</v>
      </c>
    </row>
    <row r="193" spans="1:9" ht="15" customHeight="1" x14ac:dyDescent="0.25">
      <c r="A193" s="35">
        <v>148</v>
      </c>
      <c r="B193" s="35" t="str">
        <v>2002</v>
      </c>
      <c r="C193" s="36" t="str">
        <v>SITUWANGI</v>
      </c>
      <c r="D193" s="43">
        <v>3447</v>
      </c>
      <c r="E193" s="25">
        <v>51.928291654112677</v>
      </c>
      <c r="F193" s="43">
        <v>3191</v>
      </c>
      <c r="G193" s="25">
        <v>48.071708345887316</v>
      </c>
      <c r="H193" s="26">
        <v>6638</v>
      </c>
      <c r="I193" s="54">
        <v>100</v>
      </c>
    </row>
    <row r="194" spans="1:9" ht="15" customHeight="1" x14ac:dyDescent="0.25">
      <c r="A194" s="35">
        <v>149</v>
      </c>
      <c r="B194" s="35" t="str">
        <v>2003</v>
      </c>
      <c r="C194" s="36" t="str">
        <v>GELANG</v>
      </c>
      <c r="D194" s="43">
        <v>2450</v>
      </c>
      <c r="E194" s="25">
        <v>50.505050505050505</v>
      </c>
      <c r="F194" s="43">
        <v>2401</v>
      </c>
      <c r="G194" s="25">
        <v>49.494949494949495</v>
      </c>
      <c r="H194" s="26">
        <v>4851</v>
      </c>
      <c r="I194" s="54">
        <v>100</v>
      </c>
    </row>
    <row r="195" spans="1:9" ht="15" customHeight="1" x14ac:dyDescent="0.25">
      <c r="A195" s="35">
        <v>150</v>
      </c>
      <c r="B195" s="35" t="str">
        <v>2004</v>
      </c>
      <c r="C195" s="36" t="str">
        <v>RAKIT</v>
      </c>
      <c r="D195" s="43">
        <v>2483</v>
      </c>
      <c r="E195" s="25">
        <v>51.059017067653713</v>
      </c>
      <c r="F195" s="43">
        <v>2380</v>
      </c>
      <c r="G195" s="25">
        <v>48.940982932346287</v>
      </c>
      <c r="H195" s="26">
        <v>4863</v>
      </c>
      <c r="I195" s="54">
        <v>100</v>
      </c>
    </row>
    <row r="196" spans="1:9" ht="15" customHeight="1" x14ac:dyDescent="0.25">
      <c r="A196" s="35">
        <v>151</v>
      </c>
      <c r="B196" s="35" t="str">
        <v>2005</v>
      </c>
      <c r="C196" s="36" t="str">
        <v>ADIPASIR</v>
      </c>
      <c r="D196" s="44">
        <v>3303</v>
      </c>
      <c r="E196" s="25">
        <v>50.174692389488072</v>
      </c>
      <c r="F196" s="44">
        <v>3280</v>
      </c>
      <c r="G196" s="25">
        <v>49.825307610511928</v>
      </c>
      <c r="H196" s="26">
        <v>6583</v>
      </c>
      <c r="I196" s="54">
        <v>100</v>
      </c>
    </row>
    <row r="197" spans="1:9" ht="15" customHeight="1" x14ac:dyDescent="0.25">
      <c r="A197" s="35">
        <v>152</v>
      </c>
      <c r="B197" s="35" t="str">
        <v>2006</v>
      </c>
      <c r="C197" s="36" t="str">
        <v>BANDINGAN</v>
      </c>
      <c r="D197" s="43">
        <v>2455</v>
      </c>
      <c r="E197" s="25">
        <v>49.716484406642365</v>
      </c>
      <c r="F197" s="43">
        <v>2483</v>
      </c>
      <c r="G197" s="25">
        <v>50.283515593357627</v>
      </c>
      <c r="H197" s="26">
        <v>4938</v>
      </c>
      <c r="I197" s="54">
        <v>100</v>
      </c>
    </row>
    <row r="198" spans="1:9" ht="15" customHeight="1" x14ac:dyDescent="0.25">
      <c r="A198" s="35">
        <v>153</v>
      </c>
      <c r="B198" s="35" t="str">
        <v>2007</v>
      </c>
      <c r="C198" s="36" t="str">
        <v>KINCANG</v>
      </c>
      <c r="D198" s="44">
        <v>2277</v>
      </c>
      <c r="E198" s="25">
        <v>49.792258910999344</v>
      </c>
      <c r="F198" s="44">
        <v>2296</v>
      </c>
      <c r="G198" s="25">
        <v>50.207741089000656</v>
      </c>
      <c r="H198" s="26">
        <v>4573</v>
      </c>
      <c r="I198" s="54">
        <v>100</v>
      </c>
    </row>
    <row r="199" spans="1:9" ht="15" customHeight="1" x14ac:dyDescent="0.25">
      <c r="A199" s="35">
        <v>154</v>
      </c>
      <c r="B199" s="35" t="str">
        <v>2008</v>
      </c>
      <c r="C199" s="36" t="str">
        <v>BADAMITA</v>
      </c>
      <c r="D199" s="44">
        <v>2746</v>
      </c>
      <c r="E199" s="25">
        <v>50.329912023460409</v>
      </c>
      <c r="F199" s="44">
        <v>2710</v>
      </c>
      <c r="G199" s="25">
        <v>49.670087976539591</v>
      </c>
      <c r="H199" s="26">
        <v>5456</v>
      </c>
      <c r="I199" s="54">
        <v>100</v>
      </c>
    </row>
    <row r="200" spans="1:9" ht="15" customHeight="1" x14ac:dyDescent="0.25">
      <c r="A200" s="35">
        <v>155</v>
      </c>
      <c r="B200" s="35" t="str">
        <v>2009</v>
      </c>
      <c r="C200" s="36" t="str">
        <v>TANJUNGANOM</v>
      </c>
      <c r="D200" s="43">
        <v>1847</v>
      </c>
      <c r="E200" s="25">
        <v>51.036197844708489</v>
      </c>
      <c r="F200" s="43">
        <v>1772</v>
      </c>
      <c r="G200" s="25">
        <v>48.963802155291518</v>
      </c>
      <c r="H200" s="26">
        <v>3619</v>
      </c>
      <c r="I200" s="54">
        <v>100</v>
      </c>
    </row>
    <row r="201" spans="1:9" ht="15" customHeight="1" x14ac:dyDescent="0.25">
      <c r="A201" s="35">
        <v>156</v>
      </c>
      <c r="B201" s="35" t="str">
        <v>2010</v>
      </c>
      <c r="C201" s="36" t="str">
        <v>LUWUNG</v>
      </c>
      <c r="D201" s="44">
        <v>1051</v>
      </c>
      <c r="E201" s="25">
        <v>49.412317818523746</v>
      </c>
      <c r="F201" s="44">
        <v>1076</v>
      </c>
      <c r="G201" s="25">
        <v>50.587682181476254</v>
      </c>
      <c r="H201" s="26">
        <v>2127</v>
      </c>
      <c r="I201" s="54">
        <v>100</v>
      </c>
    </row>
    <row r="202" spans="1:9" ht="15" customHeight="1" x14ac:dyDescent="0.25">
      <c r="A202" s="35">
        <v>157</v>
      </c>
      <c r="B202" s="35" t="str">
        <v>2011</v>
      </c>
      <c r="C202" s="36" t="str">
        <v>LENGKONG</v>
      </c>
      <c r="D202" s="43">
        <v>3495</v>
      </c>
      <c r="E202" s="25">
        <v>51.118911803422549</v>
      </c>
      <c r="F202" s="43">
        <v>3342</v>
      </c>
      <c r="G202" s="25">
        <v>48.881088196577444</v>
      </c>
      <c r="H202" s="26">
        <v>6837</v>
      </c>
      <c r="I202" s="54">
        <v>100</v>
      </c>
    </row>
    <row r="203" spans="1:9" ht="15" customHeight="1" x14ac:dyDescent="0.25">
      <c r="A203" s="78" t="s">
        <v>574</v>
      </c>
      <c r="B203" s="78"/>
      <c r="C203" s="78"/>
      <c r="D203" s="39">
        <f>SUM(D192:D202)</f>
        <v>28786</v>
      </c>
      <c r="E203" s="40">
        <f>D203/$H$203*100</f>
        <v>50.524800786323588</v>
      </c>
      <c r="F203" s="39">
        <f>SUM(F192:F202)</f>
        <v>28188</v>
      </c>
      <c r="G203" s="40">
        <f>F203/$H$203*100</f>
        <v>49.475199213676412</v>
      </c>
      <c r="H203" s="39">
        <f>SUM(H192:H202)</f>
        <v>56974</v>
      </c>
      <c r="I203" s="41">
        <f>H203/$H$203*100</f>
        <v>100</v>
      </c>
    </row>
    <row r="204" spans="1:9" ht="15" customHeight="1" x14ac:dyDescent="0.25">
      <c r="A204" s="86" t="s">
        <v>597</v>
      </c>
      <c r="B204" s="86"/>
      <c r="C204" s="86"/>
      <c r="D204" s="86"/>
      <c r="E204" s="86"/>
      <c r="F204" s="86"/>
      <c r="G204" s="86"/>
      <c r="H204" s="86"/>
      <c r="I204" s="86"/>
    </row>
    <row r="205" spans="1:9" ht="15" customHeight="1" x14ac:dyDescent="0.25">
      <c r="A205" s="83" t="s">
        <v>570</v>
      </c>
      <c r="B205" s="83" t="s">
        <v>585</v>
      </c>
      <c r="C205" s="83"/>
      <c r="D205" s="84" t="s">
        <v>572</v>
      </c>
      <c r="E205" s="84"/>
      <c r="F205" s="84" t="s">
        <v>573</v>
      </c>
      <c r="G205" s="84"/>
      <c r="H205" s="85" t="s">
        <v>574</v>
      </c>
      <c r="I205" s="85"/>
    </row>
    <row r="206" spans="1:9" ht="15" customHeight="1" x14ac:dyDescent="0.25">
      <c r="A206" s="83"/>
      <c r="B206" s="32" t="s">
        <v>575</v>
      </c>
      <c r="C206" s="32" t="s">
        <v>576</v>
      </c>
      <c r="D206" s="33" t="s">
        <v>574</v>
      </c>
      <c r="E206" s="33" t="s">
        <v>577</v>
      </c>
      <c r="F206" s="33" t="s">
        <v>574</v>
      </c>
      <c r="G206" s="33" t="s">
        <v>577</v>
      </c>
      <c r="H206" s="34" t="s">
        <v>586</v>
      </c>
      <c r="I206" s="34" t="s">
        <v>577</v>
      </c>
    </row>
    <row r="207" spans="1:9" ht="15" customHeight="1" x14ac:dyDescent="0.25">
      <c r="A207" s="35">
        <v>158</v>
      </c>
      <c r="B207" s="35" t="str" cm="1">
        <f t="array" ref="B207:B223">RIGHT(_xlfn._xlws.FILTER('AGR_JK_3304_KAB. BANJARNEGARA'!$B$3:$B$300,(LEN('AGR_JK_3304_KAB. BANJARNEGARA'!$B$3:$B$300)=13)*(LEFT('AGR_JK_3304_KAB. BANJARNEGARA'!$B$3:$B$300,8)=MID(A204,13,8))),4)</f>
        <v>2001</v>
      </c>
      <c r="C207" s="36" t="str" cm="1">
        <f t="array" ref="C207:D223">_xlfn._xlws.FILTER('AGR_JK_3304_KAB. BANJARNEGARA'!$C$3:$D$300,(LEN('AGR_JK_3304_KAB. BANJARNEGARA'!$B$3:$B$300)=13)*(LEFT('AGR_JK_3304_KAB. BANJARNEGARA'!$B$3:$B$300,8)=MID(A204,13,8)))</f>
        <v>SAMBONG</v>
      </c>
      <c r="D207" s="22">
        <v>2604</v>
      </c>
      <c r="E207" s="25" cm="1">
        <f t="array" ref="E207:E223">D207:D223/$H$207:$H$223*100</f>
        <v>50.592578200893726</v>
      </c>
      <c r="F207" s="22" cm="1">
        <f t="array" ref="F207:F223">_xlfn._xlws.FILTER('AGR_JK_3304_KAB. BANJARNEGARA'!$E$3:$E$300,(LEN('AGR_JK_3304_KAB. BANJARNEGARA'!$B$3:$B$300)=13)*(LEFT('AGR_JK_3304_KAB. BANJARNEGARA'!$B$3:$B$300,8)=MID(A204,13,8)))</f>
        <v>2543</v>
      </c>
      <c r="G207" s="25" cm="1">
        <f t="array" ref="G207:G223">F207:F223/$H$207:$H$223*100</f>
        <v>49.407421799106274</v>
      </c>
      <c r="H207" s="26" cm="1">
        <f t="array" ref="H207:H223">_xlfn._xlws.FILTER('AGR_JK_3304_KAB. BANJARNEGARA'!$F$3:$F$300,(LEN('AGR_JK_3304_KAB. BANJARNEGARA'!$B$3:$B$300)=13)*(LEFT('AGR_JK_3304_KAB. BANJARNEGARA'!$B$3:$B$300,8)=MID(A204,13,8)))</f>
        <v>5147</v>
      </c>
      <c r="I207" s="54" cm="1">
        <f t="array" ref="I207:I223">H207:H223/$H$207:$H$223*100</f>
        <v>100</v>
      </c>
    </row>
    <row r="208" spans="1:9" ht="15" customHeight="1" x14ac:dyDescent="0.25">
      <c r="A208" s="35">
        <v>159</v>
      </c>
      <c r="B208" s="35" t="str">
        <v>2002</v>
      </c>
      <c r="C208" s="36" t="str">
        <v>DANAKERTA</v>
      </c>
      <c r="D208" s="43">
        <v>3274</v>
      </c>
      <c r="E208" s="25">
        <v>50.493522516964838</v>
      </c>
      <c r="F208" s="43">
        <v>3210</v>
      </c>
      <c r="G208" s="25">
        <v>49.506477483035169</v>
      </c>
      <c r="H208" s="26">
        <v>6484</v>
      </c>
      <c r="I208" s="54">
        <v>100</v>
      </c>
    </row>
    <row r="209" spans="1:9" ht="15" customHeight="1" x14ac:dyDescent="0.25">
      <c r="A209" s="35">
        <v>160</v>
      </c>
      <c r="B209" s="35" t="str">
        <v>2003</v>
      </c>
      <c r="C209" s="36" t="str">
        <v>KLAPA</v>
      </c>
      <c r="D209" s="43">
        <v>1917</v>
      </c>
      <c r="E209" s="25">
        <v>51.532258064516135</v>
      </c>
      <c r="F209" s="43">
        <v>1803</v>
      </c>
      <c r="G209" s="25">
        <v>48.467741935483872</v>
      </c>
      <c r="H209" s="26">
        <v>3720</v>
      </c>
      <c r="I209" s="54">
        <v>100</v>
      </c>
    </row>
    <row r="210" spans="1:9" ht="15" customHeight="1" x14ac:dyDescent="0.25">
      <c r="A210" s="35">
        <v>161</v>
      </c>
      <c r="B210" s="35" t="str">
        <v>2004</v>
      </c>
      <c r="C210" s="36" t="str">
        <v>KECEPIT</v>
      </c>
      <c r="D210" s="43">
        <v>3246</v>
      </c>
      <c r="E210" s="25">
        <v>51.393286890436983</v>
      </c>
      <c r="F210" s="43">
        <v>3070</v>
      </c>
      <c r="G210" s="25">
        <v>48.606713109563017</v>
      </c>
      <c r="H210" s="26">
        <v>6316</v>
      </c>
      <c r="I210" s="54">
        <v>100</v>
      </c>
    </row>
    <row r="211" spans="1:9" ht="15" customHeight="1" x14ac:dyDescent="0.25">
      <c r="A211" s="35">
        <v>162</v>
      </c>
      <c r="B211" s="35" t="str">
        <v>2005</v>
      </c>
      <c r="C211" s="36" t="str">
        <v>KARANGSARI</v>
      </c>
      <c r="D211" s="44">
        <v>2995</v>
      </c>
      <c r="E211" s="25">
        <v>51.004768392370572</v>
      </c>
      <c r="F211" s="44">
        <v>2877</v>
      </c>
      <c r="G211" s="25">
        <v>48.995231607629428</v>
      </c>
      <c r="H211" s="26">
        <v>5872</v>
      </c>
      <c r="I211" s="54">
        <v>100</v>
      </c>
    </row>
    <row r="212" spans="1:9" ht="15" customHeight="1" x14ac:dyDescent="0.25">
      <c r="A212" s="35">
        <v>163</v>
      </c>
      <c r="B212" s="35" t="str">
        <v>2006</v>
      </c>
      <c r="C212" s="36" t="str">
        <v>TRIBUANA</v>
      </c>
      <c r="D212" s="43">
        <v>2129</v>
      </c>
      <c r="E212" s="25">
        <v>50.981800766283527</v>
      </c>
      <c r="F212" s="43">
        <v>2047</v>
      </c>
      <c r="G212" s="25">
        <v>49.018199233716473</v>
      </c>
      <c r="H212" s="26">
        <v>4176</v>
      </c>
      <c r="I212" s="54">
        <v>100</v>
      </c>
    </row>
    <row r="213" spans="1:9" ht="15" customHeight="1" x14ac:dyDescent="0.25">
      <c r="A213" s="35">
        <v>164</v>
      </c>
      <c r="B213" s="35" t="str">
        <v>2007</v>
      </c>
      <c r="C213" s="36" t="str">
        <v>SAWANGAN</v>
      </c>
      <c r="D213" s="44">
        <v>1873</v>
      </c>
      <c r="E213" s="25">
        <v>51.970033296337405</v>
      </c>
      <c r="F213" s="44">
        <v>1731</v>
      </c>
      <c r="G213" s="25">
        <v>48.029966703662595</v>
      </c>
      <c r="H213" s="26">
        <v>3604</v>
      </c>
      <c r="I213" s="54">
        <v>100</v>
      </c>
    </row>
    <row r="214" spans="1:9" ht="15" customHeight="1" x14ac:dyDescent="0.25">
      <c r="A214" s="35">
        <v>165</v>
      </c>
      <c r="B214" s="35" t="str">
        <v>2008</v>
      </c>
      <c r="C214" s="36" t="str">
        <v>SIDARATA</v>
      </c>
      <c r="D214" s="44">
        <v>2575</v>
      </c>
      <c r="E214" s="25">
        <v>51.397205588822359</v>
      </c>
      <c r="F214" s="44">
        <v>2435</v>
      </c>
      <c r="G214" s="25">
        <v>48.602794411177648</v>
      </c>
      <c r="H214" s="26">
        <v>5010</v>
      </c>
      <c r="I214" s="54">
        <v>100</v>
      </c>
    </row>
    <row r="215" spans="1:9" ht="15" customHeight="1" x14ac:dyDescent="0.25">
      <c r="A215" s="35">
        <v>166</v>
      </c>
      <c r="B215" s="35" t="str">
        <v>2009</v>
      </c>
      <c r="C215" s="36" t="str">
        <v>BADAKARYA</v>
      </c>
      <c r="D215" s="43">
        <v>2802</v>
      </c>
      <c r="E215" s="25">
        <v>51.103410541674265</v>
      </c>
      <c r="F215" s="43">
        <v>2681</v>
      </c>
      <c r="G215" s="25">
        <v>48.896589458325735</v>
      </c>
      <c r="H215" s="26">
        <v>5483</v>
      </c>
      <c r="I215" s="54">
        <v>100</v>
      </c>
    </row>
    <row r="216" spans="1:9" ht="15" customHeight="1" x14ac:dyDescent="0.25">
      <c r="A216" s="35">
        <v>167</v>
      </c>
      <c r="B216" s="35" t="str">
        <v>2010</v>
      </c>
      <c r="C216" s="36" t="str">
        <v>PUNGGELAN</v>
      </c>
      <c r="D216" s="44">
        <v>4329</v>
      </c>
      <c r="E216" s="25">
        <v>50.631578947368418</v>
      </c>
      <c r="F216" s="44">
        <v>4221</v>
      </c>
      <c r="G216" s="25">
        <v>49.368421052631575</v>
      </c>
      <c r="H216" s="26">
        <v>8550</v>
      </c>
      <c r="I216" s="54">
        <v>100</v>
      </c>
    </row>
    <row r="217" spans="1:9" ht="15" customHeight="1" x14ac:dyDescent="0.25">
      <c r="A217" s="35">
        <v>168</v>
      </c>
      <c r="B217" s="35" t="str">
        <v>2011</v>
      </c>
      <c r="C217" s="36" t="str">
        <v>JEMBANGAN</v>
      </c>
      <c r="D217" s="43">
        <v>3369</v>
      </c>
      <c r="E217" s="25">
        <v>51.270735047937912</v>
      </c>
      <c r="F217" s="43">
        <v>3202</v>
      </c>
      <c r="G217" s="25">
        <v>48.729264952062088</v>
      </c>
      <c r="H217" s="26">
        <v>6571</v>
      </c>
      <c r="I217" s="54">
        <v>100</v>
      </c>
    </row>
    <row r="218" spans="1:9" ht="15" customHeight="1" x14ac:dyDescent="0.25">
      <c r="A218" s="35">
        <v>169</v>
      </c>
      <c r="B218" s="35" t="str">
        <v>2012</v>
      </c>
      <c r="C218" s="36" t="str">
        <v>PURWASANA</v>
      </c>
      <c r="D218" s="43">
        <v>2726</v>
      </c>
      <c r="E218" s="25">
        <v>51.983218916857368</v>
      </c>
      <c r="F218" s="43">
        <v>2518</v>
      </c>
      <c r="G218" s="25">
        <v>48.016781083142639</v>
      </c>
      <c r="H218" s="26">
        <v>5244</v>
      </c>
      <c r="I218" s="54">
        <v>100</v>
      </c>
    </row>
    <row r="219" spans="1:9" ht="15" customHeight="1" x14ac:dyDescent="0.25">
      <c r="A219" s="35">
        <v>170</v>
      </c>
      <c r="B219" s="35" t="str">
        <v>2013</v>
      </c>
      <c r="C219" s="36" t="str">
        <v>PETUGURAN</v>
      </c>
      <c r="D219" s="43">
        <v>3753</v>
      </c>
      <c r="E219" s="25">
        <v>50.55907315101711</v>
      </c>
      <c r="F219" s="43">
        <v>3670</v>
      </c>
      <c r="G219" s="25">
        <v>49.44092684898289</v>
      </c>
      <c r="H219" s="26">
        <v>7423</v>
      </c>
      <c r="I219" s="54">
        <v>100</v>
      </c>
    </row>
    <row r="220" spans="1:9" ht="15" customHeight="1" x14ac:dyDescent="0.25">
      <c r="A220" s="35">
        <v>171</v>
      </c>
      <c r="B220" s="35" t="str">
        <v>2014</v>
      </c>
      <c r="C220" s="36" t="str">
        <v>BONDOLHARJO</v>
      </c>
      <c r="D220" s="43">
        <v>3217</v>
      </c>
      <c r="E220" s="25">
        <v>51.903839948370447</v>
      </c>
      <c r="F220" s="43">
        <v>2981</v>
      </c>
      <c r="G220" s="25">
        <v>48.09616005162956</v>
      </c>
      <c r="H220" s="26">
        <v>6198</v>
      </c>
      <c r="I220" s="54">
        <v>100</v>
      </c>
    </row>
    <row r="221" spans="1:9" ht="15" customHeight="1" x14ac:dyDescent="0.25">
      <c r="A221" s="35">
        <v>172</v>
      </c>
      <c r="B221" s="35" t="str">
        <v>2015</v>
      </c>
      <c r="C221" s="36" t="str">
        <v>TANJUNGTIRTA</v>
      </c>
      <c r="D221" s="44">
        <v>2546</v>
      </c>
      <c r="E221" s="25">
        <v>51.320298326950208</v>
      </c>
      <c r="F221" s="44">
        <v>2415</v>
      </c>
      <c r="G221" s="25">
        <v>48.679701673049792</v>
      </c>
      <c r="H221" s="26">
        <v>4961</v>
      </c>
      <c r="I221" s="54">
        <v>100</v>
      </c>
    </row>
    <row r="222" spans="1:9" ht="15" customHeight="1" x14ac:dyDescent="0.25">
      <c r="A222" s="35">
        <v>173</v>
      </c>
      <c r="B222" s="35" t="str">
        <v>2016</v>
      </c>
      <c r="C222" s="36" t="str">
        <v>TLAGA</v>
      </c>
      <c r="D222" s="22">
        <v>2830</v>
      </c>
      <c r="E222" s="46">
        <v>51.850494686698426</v>
      </c>
      <c r="F222" s="22">
        <v>2628</v>
      </c>
      <c r="G222" s="46">
        <v>48.149505313301574</v>
      </c>
      <c r="H222" s="26">
        <v>5458</v>
      </c>
      <c r="I222" s="56">
        <v>100</v>
      </c>
    </row>
    <row r="223" spans="1:9" ht="15" customHeight="1" x14ac:dyDescent="0.25">
      <c r="A223" s="35">
        <v>174</v>
      </c>
      <c r="B223" s="35" t="str">
        <v>2017</v>
      </c>
      <c r="C223" s="36" t="str">
        <v>MLAYA</v>
      </c>
      <c r="D223" s="38">
        <v>1449</v>
      </c>
      <c r="E223" s="46">
        <v>53.115835777126094</v>
      </c>
      <c r="F223" s="38">
        <v>1279</v>
      </c>
      <c r="G223" s="46">
        <v>46.884164222873906</v>
      </c>
      <c r="H223" s="26">
        <v>2728</v>
      </c>
      <c r="I223" s="56">
        <v>100</v>
      </c>
    </row>
    <row r="224" spans="1:9" ht="15" customHeight="1" x14ac:dyDescent="0.25">
      <c r="A224" s="78" t="s">
        <v>574</v>
      </c>
      <c r="B224" s="78"/>
      <c r="C224" s="78"/>
      <c r="D224" s="39">
        <f>SUM(D207:D223)</f>
        <v>47634</v>
      </c>
      <c r="E224" s="40">
        <f>D224/$H$224*100</f>
        <v>51.249663779654632</v>
      </c>
      <c r="F224" s="39">
        <f>SUM(F207:F223)</f>
        <v>45311</v>
      </c>
      <c r="G224" s="40">
        <f>F224/$H$224*100</f>
        <v>48.750336220345361</v>
      </c>
      <c r="H224" s="39">
        <f>SUM(H207:H223)</f>
        <v>92945</v>
      </c>
      <c r="I224" s="41">
        <f>H224/$H$224*100</f>
        <v>100</v>
      </c>
    </row>
    <row r="225" spans="1:9" ht="15" customHeight="1" x14ac:dyDescent="0.25">
      <c r="A225" s="86" t="s">
        <v>598</v>
      </c>
      <c r="B225" s="86"/>
      <c r="C225" s="86"/>
      <c r="D225" s="86"/>
      <c r="E225" s="86"/>
      <c r="F225" s="86"/>
      <c r="G225" s="86"/>
      <c r="H225" s="86"/>
      <c r="I225" s="86"/>
    </row>
    <row r="226" spans="1:9" ht="15" customHeight="1" x14ac:dyDescent="0.25">
      <c r="A226" s="83" t="s">
        <v>570</v>
      </c>
      <c r="B226" s="83" t="s">
        <v>585</v>
      </c>
      <c r="C226" s="83"/>
      <c r="D226" s="84" t="s">
        <v>572</v>
      </c>
      <c r="E226" s="84"/>
      <c r="F226" s="84" t="s">
        <v>573</v>
      </c>
      <c r="G226" s="84"/>
      <c r="H226" s="85" t="s">
        <v>574</v>
      </c>
      <c r="I226" s="85"/>
    </row>
    <row r="227" spans="1:9" ht="15" customHeight="1" x14ac:dyDescent="0.25">
      <c r="A227" s="83"/>
      <c r="B227" s="32" t="s">
        <v>575</v>
      </c>
      <c r="C227" s="32" t="s">
        <v>576</v>
      </c>
      <c r="D227" s="33" t="s">
        <v>574</v>
      </c>
      <c r="E227" s="33" t="s">
        <v>577</v>
      </c>
      <c r="F227" s="33" t="s">
        <v>574</v>
      </c>
      <c r="G227" s="33" t="s">
        <v>577</v>
      </c>
      <c r="H227" s="34" t="s">
        <v>586</v>
      </c>
      <c r="I227" s="34" t="s">
        <v>577</v>
      </c>
    </row>
    <row r="228" spans="1:9" ht="15" customHeight="1" x14ac:dyDescent="0.25">
      <c r="A228" s="35">
        <v>175</v>
      </c>
      <c r="B228" s="35" t="str" cm="1">
        <f t="array" ref="B228:B240">RIGHT(_xlfn._xlws.FILTER('AGR_JK_3304_KAB. BANJARNEGARA'!$B$3:$B$300,(LEN('AGR_JK_3304_KAB. BANJARNEGARA'!$B$3:$B$300)=13)*(LEFT('AGR_JK_3304_KAB. BANJARNEGARA'!$B$3:$B$300,8)=MID(A225,13,8))),4)</f>
        <v>2001</v>
      </c>
      <c r="C228" s="36" t="str" cm="1">
        <f t="array" ref="C228:D240">_xlfn._xlws.FILTER('AGR_JK_3304_KAB. BANJARNEGARA'!$C$3:$D$300,(LEN('AGR_JK_3304_KAB. BANJARNEGARA'!$B$3:$B$300)=13)*(LEFT('AGR_JK_3304_KAB. BANJARNEGARA'!$B$3:$B$300,8)=MID(A225,13,8)))</f>
        <v>PAWEDEN</v>
      </c>
      <c r="D228" s="22">
        <v>783</v>
      </c>
      <c r="E228" s="25" cm="1">
        <f t="array" ref="E228:E240">D228:D240/$H$228:$H$240*100</f>
        <v>52.165223184543642</v>
      </c>
      <c r="F228" s="22" cm="1">
        <f t="array" ref="F228:F240">_xlfn._xlws.FILTER('AGR_JK_3304_KAB. BANJARNEGARA'!$E$3:$E$300,(LEN('AGR_JK_3304_KAB. BANJARNEGARA'!$B$3:$B$300)=13)*(LEFT('AGR_JK_3304_KAB. BANJARNEGARA'!$B$3:$B$300,8)=MID(A225,13,8)))</f>
        <v>718</v>
      </c>
      <c r="G228" s="25" cm="1">
        <f t="array" ref="G228:G240">F228:F240/$H$228:$H$240*100</f>
        <v>47.834776815456365</v>
      </c>
      <c r="H228" s="26" cm="1">
        <f t="array" ref="H228:H240">_xlfn._xlws.FILTER('AGR_JK_3304_KAB. BANJARNEGARA'!$F$3:$F$300,(LEN('AGR_JK_3304_KAB. BANJARNEGARA'!$B$3:$B$300)=13)*(LEFT('AGR_JK_3304_KAB. BANJARNEGARA'!$B$3:$B$300,8)=MID(A225,13,8)))</f>
        <v>1501</v>
      </c>
      <c r="I228" s="54" cm="1">
        <f t="array" ref="I228:I240">H228:H240/$H$228:$H$240*100</f>
        <v>100</v>
      </c>
    </row>
    <row r="229" spans="1:9" ht="15" customHeight="1" x14ac:dyDescent="0.25">
      <c r="A229" s="35">
        <v>176</v>
      </c>
      <c r="B229" s="35" t="str">
        <v>2002</v>
      </c>
      <c r="C229" s="36" t="str">
        <v>GUMELAR</v>
      </c>
      <c r="D229" s="43">
        <v>523</v>
      </c>
      <c r="E229" s="25">
        <v>51.730959446092974</v>
      </c>
      <c r="F229" s="43">
        <v>488</v>
      </c>
      <c r="G229" s="25">
        <v>48.269040553907026</v>
      </c>
      <c r="H229" s="26">
        <v>1011</v>
      </c>
      <c r="I229" s="54">
        <v>100</v>
      </c>
    </row>
    <row r="230" spans="1:9" ht="15" customHeight="1" x14ac:dyDescent="0.25">
      <c r="A230" s="35">
        <v>177</v>
      </c>
      <c r="B230" s="35" t="str">
        <v>2003</v>
      </c>
      <c r="C230" s="36" t="str">
        <v>PURWODADI</v>
      </c>
      <c r="D230" s="43">
        <v>1369</v>
      </c>
      <c r="E230" s="25">
        <v>51.993923281428032</v>
      </c>
      <c r="F230" s="43">
        <v>1264</v>
      </c>
      <c r="G230" s="25">
        <v>48.006076718571968</v>
      </c>
      <c r="H230" s="26">
        <v>2633</v>
      </c>
      <c r="I230" s="54">
        <v>100</v>
      </c>
    </row>
    <row r="231" spans="1:9" ht="15" customHeight="1" x14ac:dyDescent="0.25">
      <c r="A231" s="35">
        <v>178</v>
      </c>
      <c r="B231" s="35" t="str">
        <v>2004</v>
      </c>
      <c r="C231" s="36" t="str">
        <v>SAMPANG</v>
      </c>
      <c r="D231" s="43">
        <v>1316</v>
      </c>
      <c r="E231" s="25">
        <v>51.913214990138066</v>
      </c>
      <c r="F231" s="43">
        <v>1219</v>
      </c>
      <c r="G231" s="25">
        <v>48.086785009861934</v>
      </c>
      <c r="H231" s="26">
        <v>2535</v>
      </c>
      <c r="I231" s="54">
        <v>100</v>
      </c>
    </row>
    <row r="232" spans="1:9" ht="15" customHeight="1" x14ac:dyDescent="0.25">
      <c r="A232" s="35">
        <v>179</v>
      </c>
      <c r="B232" s="35" t="str">
        <v>2005</v>
      </c>
      <c r="C232" s="36" t="str">
        <v>SLATRI</v>
      </c>
      <c r="D232" s="44">
        <v>1306</v>
      </c>
      <c r="E232" s="25">
        <v>52.428743476515457</v>
      </c>
      <c r="F232" s="44">
        <v>1185</v>
      </c>
      <c r="G232" s="25">
        <v>47.571256523484543</v>
      </c>
      <c r="H232" s="26">
        <v>2491</v>
      </c>
      <c r="I232" s="54">
        <v>100</v>
      </c>
    </row>
    <row r="233" spans="1:9" ht="15" customHeight="1" x14ac:dyDescent="0.25">
      <c r="A233" s="35">
        <v>180</v>
      </c>
      <c r="B233" s="35" t="str">
        <v>2006</v>
      </c>
      <c r="C233" s="36" t="str">
        <v>PAGERPELAH</v>
      </c>
      <c r="D233" s="43">
        <v>1058</v>
      </c>
      <c r="E233" s="25">
        <v>51.509250243427459</v>
      </c>
      <c r="F233" s="43">
        <v>996</v>
      </c>
      <c r="G233" s="25">
        <v>48.490749756572541</v>
      </c>
      <c r="H233" s="26">
        <v>2054</v>
      </c>
      <c r="I233" s="54">
        <v>100</v>
      </c>
    </row>
    <row r="234" spans="1:9" ht="15" customHeight="1" x14ac:dyDescent="0.25">
      <c r="A234" s="35">
        <v>181</v>
      </c>
      <c r="B234" s="35" t="str">
        <v>2007</v>
      </c>
      <c r="C234" s="36" t="str">
        <v>PASURUHAN</v>
      </c>
      <c r="D234" s="44">
        <v>752</v>
      </c>
      <c r="E234" s="25">
        <v>51.790633608815426</v>
      </c>
      <c r="F234" s="44">
        <v>700</v>
      </c>
      <c r="G234" s="25">
        <v>48.209366391184574</v>
      </c>
      <c r="H234" s="26">
        <v>1452</v>
      </c>
      <c r="I234" s="54">
        <v>100</v>
      </c>
    </row>
    <row r="235" spans="1:9" ht="15" customHeight="1" x14ac:dyDescent="0.25">
      <c r="A235" s="35">
        <v>182</v>
      </c>
      <c r="B235" s="35" t="str">
        <v>2008</v>
      </c>
      <c r="C235" s="36" t="str">
        <v>KARANGGONDANG</v>
      </c>
      <c r="D235" s="44">
        <v>1383</v>
      </c>
      <c r="E235" s="25">
        <v>51.778360164732305</v>
      </c>
      <c r="F235" s="44">
        <v>1288</v>
      </c>
      <c r="G235" s="25">
        <v>48.221639835267688</v>
      </c>
      <c r="H235" s="26">
        <v>2671</v>
      </c>
      <c r="I235" s="54">
        <v>100</v>
      </c>
    </row>
    <row r="236" spans="1:9" ht="15" customHeight="1" x14ac:dyDescent="0.25">
      <c r="A236" s="35">
        <v>183</v>
      </c>
      <c r="B236" s="35" t="str">
        <v>2009</v>
      </c>
      <c r="C236" s="36" t="str">
        <v>JLEGONG</v>
      </c>
      <c r="D236" s="43">
        <v>533</v>
      </c>
      <c r="E236" s="25">
        <v>52.720079129574685</v>
      </c>
      <c r="F236" s="43">
        <v>478</v>
      </c>
      <c r="G236" s="25">
        <v>47.279920870425322</v>
      </c>
      <c r="H236" s="26">
        <v>1011</v>
      </c>
      <c r="I236" s="54">
        <v>100</v>
      </c>
    </row>
    <row r="237" spans="1:9" ht="15" customHeight="1" x14ac:dyDescent="0.25">
      <c r="A237" s="35">
        <v>184</v>
      </c>
      <c r="B237" s="35" t="str">
        <v>2010</v>
      </c>
      <c r="C237" s="36" t="str">
        <v>AMBAL</v>
      </c>
      <c r="D237" s="44">
        <v>1349</v>
      </c>
      <c r="E237" s="25">
        <v>51.41006097560976</v>
      </c>
      <c r="F237" s="44">
        <v>1275</v>
      </c>
      <c r="G237" s="25">
        <v>48.589939024390247</v>
      </c>
      <c r="H237" s="26">
        <v>2624</v>
      </c>
      <c r="I237" s="54">
        <v>100</v>
      </c>
    </row>
    <row r="238" spans="1:9" ht="15" customHeight="1" x14ac:dyDescent="0.25">
      <c r="A238" s="35">
        <v>185</v>
      </c>
      <c r="B238" s="35" t="str">
        <v>2011</v>
      </c>
      <c r="C238" s="36" t="str">
        <v>BINANGUN</v>
      </c>
      <c r="D238" s="43">
        <v>1585</v>
      </c>
      <c r="E238" s="25">
        <v>51.763553233180929</v>
      </c>
      <c r="F238" s="43">
        <v>1477</v>
      </c>
      <c r="G238" s="25">
        <v>48.236446766819071</v>
      </c>
      <c r="H238" s="26">
        <v>3062</v>
      </c>
      <c r="I238" s="54">
        <v>100</v>
      </c>
    </row>
    <row r="239" spans="1:9" ht="15" customHeight="1" x14ac:dyDescent="0.25">
      <c r="A239" s="35">
        <v>186</v>
      </c>
      <c r="B239" s="35" t="str">
        <v>2012</v>
      </c>
      <c r="C239" s="36" t="str">
        <v>KARANGKOBAR</v>
      </c>
      <c r="D239" s="43">
        <v>2840</v>
      </c>
      <c r="E239" s="25">
        <v>51.217312894499543</v>
      </c>
      <c r="F239" s="43">
        <v>2705</v>
      </c>
      <c r="G239" s="25">
        <v>48.78268710550045</v>
      </c>
      <c r="H239" s="26">
        <v>5545</v>
      </c>
      <c r="I239" s="54">
        <v>100</v>
      </c>
    </row>
    <row r="240" spans="1:9" ht="15" customHeight="1" x14ac:dyDescent="0.25">
      <c r="A240" s="35">
        <v>187</v>
      </c>
      <c r="B240" s="35" t="str">
        <v>2013</v>
      </c>
      <c r="C240" s="36" t="str">
        <v>LEKSANA</v>
      </c>
      <c r="D240" s="43">
        <v>2333</v>
      </c>
      <c r="E240" s="25">
        <v>50.894415357766142</v>
      </c>
      <c r="F240" s="43">
        <v>2251</v>
      </c>
      <c r="G240" s="25">
        <v>49.105584642233858</v>
      </c>
      <c r="H240" s="26">
        <v>4584</v>
      </c>
      <c r="I240" s="54">
        <v>100</v>
      </c>
    </row>
    <row r="241" spans="1:9" ht="15" customHeight="1" x14ac:dyDescent="0.25">
      <c r="A241" s="78" t="s">
        <v>574</v>
      </c>
      <c r="B241" s="78"/>
      <c r="C241" s="78"/>
      <c r="D241" s="39">
        <f>SUM(D228:D240)</f>
        <v>17130</v>
      </c>
      <c r="E241" s="40">
        <f>D241/$H$241*100</f>
        <v>51.636824018809911</v>
      </c>
      <c r="F241" s="39">
        <f>SUM(F228:F240)</f>
        <v>16044</v>
      </c>
      <c r="G241" s="40">
        <f>F241/$H$241*100</f>
        <v>48.363175981190089</v>
      </c>
      <c r="H241" s="39">
        <f>SUM(H228:H240)</f>
        <v>33174</v>
      </c>
      <c r="I241" s="41">
        <f>H241/$H$241*100</f>
        <v>100</v>
      </c>
    </row>
    <row r="242" spans="1:9" ht="15" customHeight="1" x14ac:dyDescent="0.25">
      <c r="A242" s="86" t="s">
        <v>599</v>
      </c>
      <c r="B242" s="86"/>
      <c r="C242" s="86"/>
      <c r="D242" s="86"/>
      <c r="E242" s="86"/>
      <c r="F242" s="86"/>
      <c r="G242" s="86"/>
      <c r="H242" s="86"/>
      <c r="I242" s="86"/>
    </row>
    <row r="243" spans="1:9" ht="15" customHeight="1" x14ac:dyDescent="0.25">
      <c r="A243" s="83" t="s">
        <v>570</v>
      </c>
      <c r="B243" s="83" t="s">
        <v>585</v>
      </c>
      <c r="C243" s="83"/>
      <c r="D243" s="84" t="s">
        <v>572</v>
      </c>
      <c r="E243" s="84"/>
      <c r="F243" s="84" t="s">
        <v>573</v>
      </c>
      <c r="G243" s="84"/>
      <c r="H243" s="85" t="s">
        <v>574</v>
      </c>
      <c r="I243" s="85"/>
    </row>
    <row r="244" spans="1:9" ht="15" customHeight="1" x14ac:dyDescent="0.25">
      <c r="A244" s="83"/>
      <c r="B244" s="32" t="s">
        <v>575</v>
      </c>
      <c r="C244" s="32" t="s">
        <v>576</v>
      </c>
      <c r="D244" s="33" t="s">
        <v>574</v>
      </c>
      <c r="E244" s="33" t="s">
        <v>577</v>
      </c>
      <c r="F244" s="33" t="s">
        <v>574</v>
      </c>
      <c r="G244" s="33" t="s">
        <v>577</v>
      </c>
      <c r="H244" s="34" t="s">
        <v>586</v>
      </c>
      <c r="I244" s="34" t="s">
        <v>577</v>
      </c>
    </row>
    <row r="245" spans="1:9" ht="15" customHeight="1" x14ac:dyDescent="0.25">
      <c r="A245" s="35">
        <v>188</v>
      </c>
      <c r="B245" s="35" t="str" cm="1">
        <f t="array" ref="B245:B260">RIGHT(_xlfn._xlws.FILTER('AGR_JK_3304_KAB. BANJARNEGARA'!$B$3:$B$300,(LEN('AGR_JK_3304_KAB. BANJARNEGARA'!$B$3:$B$300)=13)*(LEFT('AGR_JK_3304_KAB. BANJARNEGARA'!$B$3:$B$300,8)=MID(A242,13,8))),4)</f>
        <v>2001</v>
      </c>
      <c r="C245" s="36" t="str" cm="1">
        <f t="array" ref="C245:D260">_xlfn._xlws.FILTER('AGR_JK_3304_KAB. BANJARNEGARA'!$C$3:$D$300,(LEN('AGR_JK_3304_KAB. BANJARNEGARA'!$B$3:$B$300)=13)*(LEFT('AGR_JK_3304_KAB. BANJARNEGARA'!$B$3:$B$300,8)=MID(A242,13,8)))</f>
        <v>LARANGAN</v>
      </c>
      <c r="D245" s="22">
        <v>1059</v>
      </c>
      <c r="E245" s="25" cm="1">
        <f t="array" ref="E245:E260">D245:D260/$H$245:$H$260*100</f>
        <v>51.608187134502927</v>
      </c>
      <c r="F245" s="22" cm="1">
        <f t="array" ref="F245:F260">_xlfn._xlws.FILTER('AGR_JK_3304_KAB. BANJARNEGARA'!$E$3:$E$300,(LEN('AGR_JK_3304_KAB. BANJARNEGARA'!$B$3:$B$300)=13)*(LEFT('AGR_JK_3304_KAB. BANJARNEGARA'!$B$3:$B$300,8)=MID(A242,13,8)))</f>
        <v>993</v>
      </c>
      <c r="G245" s="25" cm="1">
        <f t="array" ref="G245:G260">F245:F260/$H$245:$H$260*100</f>
        <v>48.391812865497073</v>
      </c>
      <c r="H245" s="26" cm="1">
        <f t="array" ref="H245:H260">_xlfn._xlws.FILTER('AGR_JK_3304_KAB. BANJARNEGARA'!$F$3:$F$300,(LEN('AGR_JK_3304_KAB. BANJARNEGARA'!$B$3:$B$300)=13)*(LEFT('AGR_JK_3304_KAB. BANJARNEGARA'!$B$3:$B$300,8)=MID(A242,13,8)))</f>
        <v>2052</v>
      </c>
      <c r="I245" s="54" cm="1">
        <f t="array" ref="I245:I260">H245:H260/$H$245:$H$260*100</f>
        <v>100</v>
      </c>
    </row>
    <row r="246" spans="1:9" ht="15" customHeight="1" x14ac:dyDescent="0.25">
      <c r="A246" s="35">
        <v>189</v>
      </c>
      <c r="B246" s="35" t="str">
        <v>2002</v>
      </c>
      <c r="C246" s="36" t="str">
        <v>KARANGNANGKA</v>
      </c>
      <c r="D246" s="43">
        <v>1024</v>
      </c>
      <c r="E246" s="25">
        <v>52.810727178958231</v>
      </c>
      <c r="F246" s="43">
        <v>915</v>
      </c>
      <c r="G246" s="25">
        <v>47.189272821041769</v>
      </c>
      <c r="H246" s="26">
        <v>1939</v>
      </c>
      <c r="I246" s="54">
        <v>100</v>
      </c>
    </row>
    <row r="247" spans="1:9" ht="15" customHeight="1" x14ac:dyDescent="0.25">
      <c r="A247" s="35">
        <v>190</v>
      </c>
      <c r="B247" s="35" t="str">
        <v>2003</v>
      </c>
      <c r="C247" s="36" t="str">
        <v>ARIBAYA</v>
      </c>
      <c r="D247" s="43">
        <v>1218</v>
      </c>
      <c r="E247" s="25">
        <v>51.241060159865384</v>
      </c>
      <c r="F247" s="43">
        <v>1159</v>
      </c>
      <c r="G247" s="25">
        <v>48.758939840134623</v>
      </c>
      <c r="H247" s="26">
        <v>2377</v>
      </c>
      <c r="I247" s="54">
        <v>100</v>
      </c>
    </row>
    <row r="248" spans="1:9" ht="15" customHeight="1" x14ac:dyDescent="0.25">
      <c r="A248" s="35">
        <v>191</v>
      </c>
      <c r="B248" s="35" t="str">
        <v>2004</v>
      </c>
      <c r="C248" s="36" t="str">
        <v>NAGASARI</v>
      </c>
      <c r="D248" s="43">
        <v>943</v>
      </c>
      <c r="E248" s="25">
        <v>52.476349471341123</v>
      </c>
      <c r="F248" s="43">
        <v>854</v>
      </c>
      <c r="G248" s="25">
        <v>47.523650528658877</v>
      </c>
      <c r="H248" s="26">
        <v>1797</v>
      </c>
      <c r="I248" s="54">
        <v>100</v>
      </c>
    </row>
    <row r="249" spans="1:9" ht="15" customHeight="1" x14ac:dyDescent="0.25">
      <c r="A249" s="35">
        <v>192</v>
      </c>
      <c r="B249" s="35" t="str">
        <v>2005</v>
      </c>
      <c r="C249" s="36" t="str">
        <v>GUMINGSIR</v>
      </c>
      <c r="D249" s="44">
        <v>1116</v>
      </c>
      <c r="E249" s="25">
        <v>51.452282157676343</v>
      </c>
      <c r="F249" s="44">
        <v>1053</v>
      </c>
      <c r="G249" s="25">
        <v>48.54771784232365</v>
      </c>
      <c r="H249" s="26">
        <v>2169</v>
      </c>
      <c r="I249" s="54">
        <v>100</v>
      </c>
    </row>
    <row r="250" spans="1:9" ht="15" customHeight="1" x14ac:dyDescent="0.25">
      <c r="A250" s="35">
        <v>193</v>
      </c>
      <c r="B250" s="35" t="str">
        <v>2006</v>
      </c>
      <c r="C250" s="36" t="str">
        <v>SOKARAJA</v>
      </c>
      <c r="D250" s="43">
        <v>1190</v>
      </c>
      <c r="E250" s="25">
        <v>49.480249480249483</v>
      </c>
      <c r="F250" s="43">
        <v>1215</v>
      </c>
      <c r="G250" s="25">
        <v>50.519750519750517</v>
      </c>
      <c r="H250" s="26">
        <v>2405</v>
      </c>
      <c r="I250" s="54">
        <v>100</v>
      </c>
    </row>
    <row r="251" spans="1:9" ht="15" customHeight="1" x14ac:dyDescent="0.25">
      <c r="A251" s="35">
        <v>194</v>
      </c>
      <c r="B251" s="35" t="str">
        <v>2007</v>
      </c>
      <c r="C251" s="36" t="str">
        <v>KAYUARES</v>
      </c>
      <c r="D251" s="44">
        <v>997</v>
      </c>
      <c r="E251" s="25">
        <v>52.723426758328927</v>
      </c>
      <c r="F251" s="44">
        <v>894</v>
      </c>
      <c r="G251" s="25">
        <v>47.276573241671073</v>
      </c>
      <c r="H251" s="26">
        <v>1891</v>
      </c>
      <c r="I251" s="54">
        <v>100</v>
      </c>
    </row>
    <row r="252" spans="1:9" ht="15" customHeight="1" x14ac:dyDescent="0.25">
      <c r="A252" s="35">
        <v>195</v>
      </c>
      <c r="B252" s="35" t="str">
        <v>2008</v>
      </c>
      <c r="C252" s="36" t="str">
        <v>METAWANA</v>
      </c>
      <c r="D252" s="44">
        <v>1048</v>
      </c>
      <c r="E252" s="25">
        <v>51.397743992153011</v>
      </c>
      <c r="F252" s="44">
        <v>991</v>
      </c>
      <c r="G252" s="25">
        <v>48.602256007846982</v>
      </c>
      <c r="H252" s="26">
        <v>2039</v>
      </c>
      <c r="I252" s="54">
        <v>100</v>
      </c>
    </row>
    <row r="253" spans="1:9" ht="15" customHeight="1" x14ac:dyDescent="0.25">
      <c r="A253" s="35">
        <v>196</v>
      </c>
      <c r="B253" s="35" t="str">
        <v>2009</v>
      </c>
      <c r="C253" s="36" t="str">
        <v>KALITLAGA</v>
      </c>
      <c r="D253" s="43">
        <v>1221</v>
      </c>
      <c r="E253" s="25">
        <v>51.518987341772146</v>
      </c>
      <c r="F253" s="43">
        <v>1149</v>
      </c>
      <c r="G253" s="25">
        <v>48.481012658227847</v>
      </c>
      <c r="H253" s="26">
        <v>2370</v>
      </c>
      <c r="I253" s="54">
        <v>100</v>
      </c>
    </row>
    <row r="254" spans="1:9" ht="15" customHeight="1" x14ac:dyDescent="0.25">
      <c r="A254" s="35">
        <v>197</v>
      </c>
      <c r="B254" s="35" t="str">
        <v>2010</v>
      </c>
      <c r="C254" s="36" t="str">
        <v>KAREKAN</v>
      </c>
      <c r="D254" s="44">
        <v>1528</v>
      </c>
      <c r="E254" s="25">
        <v>52.328767123287669</v>
      </c>
      <c r="F254" s="44">
        <v>1392</v>
      </c>
      <c r="G254" s="25">
        <v>47.671232876712324</v>
      </c>
      <c r="H254" s="26">
        <v>2920</v>
      </c>
      <c r="I254" s="54">
        <v>100</v>
      </c>
    </row>
    <row r="255" spans="1:9" ht="15" customHeight="1" x14ac:dyDescent="0.25">
      <c r="A255" s="35">
        <v>198</v>
      </c>
      <c r="B255" s="35" t="str">
        <v>2011</v>
      </c>
      <c r="C255" s="36" t="str">
        <v>PLUMBUNGAN</v>
      </c>
      <c r="D255" s="43">
        <v>1191</v>
      </c>
      <c r="E255" s="25">
        <v>50.724020442930154</v>
      </c>
      <c r="F255" s="43">
        <v>1157</v>
      </c>
      <c r="G255" s="25">
        <v>49.275979557069846</v>
      </c>
      <c r="H255" s="26">
        <v>2348</v>
      </c>
      <c r="I255" s="54">
        <v>100</v>
      </c>
    </row>
    <row r="256" spans="1:9" ht="15" customHeight="1" x14ac:dyDescent="0.25">
      <c r="A256" s="35">
        <v>199</v>
      </c>
      <c r="B256" s="35" t="str">
        <v>2012</v>
      </c>
      <c r="C256" s="36" t="str">
        <v>PAGENTAN</v>
      </c>
      <c r="D256" s="43">
        <v>2567</v>
      </c>
      <c r="E256" s="25">
        <v>50.215179968701094</v>
      </c>
      <c r="F256" s="43">
        <v>2545</v>
      </c>
      <c r="G256" s="25">
        <v>49.784820031298906</v>
      </c>
      <c r="H256" s="26">
        <v>5112</v>
      </c>
      <c r="I256" s="54">
        <v>100</v>
      </c>
    </row>
    <row r="257" spans="1:9" ht="15" customHeight="1" x14ac:dyDescent="0.25">
      <c r="A257" s="35">
        <v>200</v>
      </c>
      <c r="B257" s="35" t="str">
        <v>2013</v>
      </c>
      <c r="C257" s="36" t="str">
        <v>KASMARAN</v>
      </c>
      <c r="D257" s="43">
        <v>1100</v>
      </c>
      <c r="E257" s="25">
        <v>50.091074681238609</v>
      </c>
      <c r="F257" s="43">
        <v>1096</v>
      </c>
      <c r="G257" s="25">
        <v>49.908925318761383</v>
      </c>
      <c r="H257" s="26">
        <v>2196</v>
      </c>
      <c r="I257" s="54">
        <v>100</v>
      </c>
    </row>
    <row r="258" spans="1:9" ht="15" customHeight="1" x14ac:dyDescent="0.25">
      <c r="A258" s="35">
        <v>201</v>
      </c>
      <c r="B258" s="35" t="str">
        <v>2014</v>
      </c>
      <c r="C258" s="36" t="str">
        <v>MAJASARI</v>
      </c>
      <c r="D258" s="43">
        <v>1678</v>
      </c>
      <c r="E258" s="25">
        <v>51.205370765944458</v>
      </c>
      <c r="F258" s="43">
        <v>1599</v>
      </c>
      <c r="G258" s="25">
        <v>48.794629234055535</v>
      </c>
      <c r="H258" s="26">
        <v>3277</v>
      </c>
      <c r="I258" s="54">
        <v>100</v>
      </c>
    </row>
    <row r="259" spans="1:9" ht="15" customHeight="1" x14ac:dyDescent="0.25">
      <c r="A259" s="35">
        <v>202</v>
      </c>
      <c r="B259" s="35" t="str">
        <v>2015</v>
      </c>
      <c r="C259" s="36" t="str">
        <v>BABADAN</v>
      </c>
      <c r="D259" s="44">
        <v>1930</v>
      </c>
      <c r="E259" s="25">
        <v>51.180058339962876</v>
      </c>
      <c r="F259" s="44">
        <v>1841</v>
      </c>
      <c r="G259" s="25">
        <v>48.819941660037124</v>
      </c>
      <c r="H259" s="26">
        <v>3771</v>
      </c>
      <c r="I259" s="54">
        <v>100</v>
      </c>
    </row>
    <row r="260" spans="1:9" ht="15" customHeight="1" x14ac:dyDescent="0.25">
      <c r="A260" s="35">
        <v>203</v>
      </c>
      <c r="B260" s="35" t="str">
        <v>2016</v>
      </c>
      <c r="C260" s="36" t="str">
        <v>TEGALJERUK</v>
      </c>
      <c r="D260" s="22">
        <v>1021</v>
      </c>
      <c r="E260" s="46">
        <v>51.409869083585093</v>
      </c>
      <c r="F260" s="22">
        <v>965</v>
      </c>
      <c r="G260" s="46">
        <v>48.5901309164149</v>
      </c>
      <c r="H260" s="26">
        <v>1986</v>
      </c>
      <c r="I260" s="56">
        <v>100</v>
      </c>
    </row>
    <row r="261" spans="1:9" ht="15" customHeight="1" x14ac:dyDescent="0.25">
      <c r="A261" s="78" t="s">
        <v>574</v>
      </c>
      <c r="B261" s="78"/>
      <c r="C261" s="78"/>
      <c r="D261" s="39">
        <f>SUM(D245:D260)</f>
        <v>20831</v>
      </c>
      <c r="E261" s="40">
        <f>D261/$H$261*100</f>
        <v>51.246033112745707</v>
      </c>
      <c r="F261" s="39">
        <f>SUM(F245:F260)</f>
        <v>19818</v>
      </c>
      <c r="G261" s="40">
        <f>F261/$H$261*100</f>
        <v>48.753966887254293</v>
      </c>
      <c r="H261" s="39">
        <f>SUM(H245:H260)</f>
        <v>40649</v>
      </c>
      <c r="I261" s="41">
        <f>H261/$H$261*100</f>
        <v>100</v>
      </c>
    </row>
    <row r="262" spans="1:9" ht="15" customHeight="1" x14ac:dyDescent="0.25">
      <c r="A262" s="86" t="s">
        <v>600</v>
      </c>
      <c r="B262" s="86"/>
      <c r="C262" s="86"/>
      <c r="D262" s="86"/>
      <c r="E262" s="86"/>
      <c r="F262" s="86"/>
      <c r="G262" s="86"/>
      <c r="H262" s="86"/>
      <c r="I262" s="86"/>
    </row>
    <row r="263" spans="1:9" ht="15" customHeight="1" x14ac:dyDescent="0.25">
      <c r="A263" s="83" t="s">
        <v>570</v>
      </c>
      <c r="B263" s="83" t="s">
        <v>585</v>
      </c>
      <c r="C263" s="83"/>
      <c r="D263" s="84" t="s">
        <v>572</v>
      </c>
      <c r="E263" s="84"/>
      <c r="F263" s="84" t="s">
        <v>573</v>
      </c>
      <c r="G263" s="84"/>
      <c r="H263" s="85" t="s">
        <v>574</v>
      </c>
      <c r="I263" s="85"/>
    </row>
    <row r="264" spans="1:9" ht="15" customHeight="1" x14ac:dyDescent="0.25">
      <c r="A264" s="83"/>
      <c r="B264" s="32" t="s">
        <v>575</v>
      </c>
      <c r="C264" s="32" t="s">
        <v>576</v>
      </c>
      <c r="D264" s="33" t="s">
        <v>574</v>
      </c>
      <c r="E264" s="33" t="s">
        <v>577</v>
      </c>
      <c r="F264" s="33" t="s">
        <v>574</v>
      </c>
      <c r="G264" s="33" t="s">
        <v>577</v>
      </c>
      <c r="H264" s="34" t="s">
        <v>586</v>
      </c>
      <c r="I264" s="34" t="s">
        <v>577</v>
      </c>
    </row>
    <row r="265" spans="1:9" ht="15" customHeight="1" x14ac:dyDescent="0.25">
      <c r="A265" s="35">
        <v>204</v>
      </c>
      <c r="B265" s="35" t="str" cm="1">
        <f t="array" ref="B265:B281">RIGHT(_xlfn._xlws.FILTER('AGR_JK_3304_KAB. BANJARNEGARA'!$B$3:$B$300,(LEN('AGR_JK_3304_KAB. BANJARNEGARA'!$B$3:$B$300)=13)*(LEFT('AGR_JK_3304_KAB. BANJARNEGARA'!$B$3:$B$300,8)=MID(A262,13,8))),4)</f>
        <v>2001</v>
      </c>
      <c r="C265" s="36" t="str" cm="1">
        <f t="array" ref="C265:D281">_xlfn._xlws.FILTER('AGR_JK_3304_KAB. BANJARNEGARA'!$C$3:$D$300,(LEN('AGR_JK_3304_KAB. BANJARNEGARA'!$B$3:$B$300)=13)*(LEFT('AGR_JK_3304_KAB. BANJARNEGARA'!$B$3:$B$300,8)=MID(A262,13,8)))</f>
        <v>KALILUNJAR</v>
      </c>
      <c r="D265" s="22">
        <v>650</v>
      </c>
      <c r="E265" s="25" cm="1">
        <f t="array" ref="E265:E281">D265:D281/$H$265:$H$281*100</f>
        <v>51.424050632911388</v>
      </c>
      <c r="F265" s="22" cm="1">
        <f t="array" ref="F265:F281">_xlfn._xlws.FILTER('AGR_JK_3304_KAB. BANJARNEGARA'!$E$3:$E$300,(LEN('AGR_JK_3304_KAB. BANJARNEGARA'!$B$3:$B$300)=13)*(LEFT('AGR_JK_3304_KAB. BANJARNEGARA'!$B$3:$B$300,8)=MID(A262,13,8)))</f>
        <v>614</v>
      </c>
      <c r="G265" s="25" cm="1">
        <f t="array" ref="G265:G281">F265:F281/$H$265:$H$281*100</f>
        <v>48.575949367088604</v>
      </c>
      <c r="H265" s="26" cm="1">
        <f t="array" ref="H265:H281">_xlfn._xlws.FILTER('AGR_JK_3304_KAB. BANJARNEGARA'!$F$3:$F$300,(LEN('AGR_JK_3304_KAB. BANJARNEGARA'!$B$3:$B$300)=13)*(LEFT('AGR_JK_3304_KAB. BANJARNEGARA'!$B$3:$B$300,8)=MID(A262,13,8)))</f>
        <v>1264</v>
      </c>
      <c r="I265" s="54" cm="1">
        <f t="array" ref="I265:I281">H265:H281/$H$265:$H$281*100</f>
        <v>100</v>
      </c>
    </row>
    <row r="266" spans="1:9" ht="15" customHeight="1" x14ac:dyDescent="0.25">
      <c r="A266" s="35">
        <v>205</v>
      </c>
      <c r="B266" s="35" t="str">
        <v>2002</v>
      </c>
      <c r="C266" s="36" t="str">
        <v>KARANGSARI</v>
      </c>
      <c r="D266" s="43">
        <v>1604</v>
      </c>
      <c r="E266" s="25">
        <v>51.842275371687144</v>
      </c>
      <c r="F266" s="43">
        <v>1490</v>
      </c>
      <c r="G266" s="25">
        <v>48.157724628312863</v>
      </c>
      <c r="H266" s="26">
        <v>3094</v>
      </c>
      <c r="I266" s="54">
        <v>100</v>
      </c>
    </row>
    <row r="267" spans="1:9" ht="15" customHeight="1" x14ac:dyDescent="0.25">
      <c r="A267" s="35">
        <v>206</v>
      </c>
      <c r="B267" s="35" t="str">
        <v>2003</v>
      </c>
      <c r="C267" s="36" t="str">
        <v>SARWODADI</v>
      </c>
      <c r="D267" s="43">
        <v>993</v>
      </c>
      <c r="E267" s="25">
        <v>52.37341772151899</v>
      </c>
      <c r="F267" s="43">
        <v>903</v>
      </c>
      <c r="G267" s="25">
        <v>47.62658227848101</v>
      </c>
      <c r="H267" s="26">
        <v>1896</v>
      </c>
      <c r="I267" s="54">
        <v>100</v>
      </c>
    </row>
    <row r="268" spans="1:9" ht="15" customHeight="1" x14ac:dyDescent="0.25">
      <c r="A268" s="35">
        <v>207</v>
      </c>
      <c r="B268" s="35" t="str">
        <v>2004</v>
      </c>
      <c r="C268" s="36" t="str">
        <v>GROGOL</v>
      </c>
      <c r="D268" s="43">
        <v>1735</v>
      </c>
      <c r="E268" s="25">
        <v>52.416918429003026</v>
      </c>
      <c r="F268" s="43">
        <v>1575</v>
      </c>
      <c r="G268" s="25">
        <v>47.583081570996974</v>
      </c>
      <c r="H268" s="26">
        <v>3310</v>
      </c>
      <c r="I268" s="54">
        <v>100</v>
      </c>
    </row>
    <row r="269" spans="1:9" ht="15" customHeight="1" x14ac:dyDescent="0.25">
      <c r="A269" s="35">
        <v>208</v>
      </c>
      <c r="B269" s="35" t="str">
        <v>2005</v>
      </c>
      <c r="C269" s="36" t="str">
        <v>GIRITIRTA</v>
      </c>
      <c r="D269" s="44">
        <v>1577</v>
      </c>
      <c r="E269" s="25">
        <v>51.840894148586457</v>
      </c>
      <c r="F269" s="44">
        <v>1465</v>
      </c>
      <c r="G269" s="25">
        <v>48.159105851413543</v>
      </c>
      <c r="H269" s="26">
        <v>3042</v>
      </c>
      <c r="I269" s="54">
        <v>100</v>
      </c>
    </row>
    <row r="270" spans="1:9" ht="15" customHeight="1" x14ac:dyDescent="0.25">
      <c r="A270" s="35">
        <v>209</v>
      </c>
      <c r="B270" s="35" t="str">
        <v>2006</v>
      </c>
      <c r="C270" s="36" t="str">
        <v>BITING</v>
      </c>
      <c r="D270" s="43">
        <v>975</v>
      </c>
      <c r="E270" s="25">
        <v>50.257731958762889</v>
      </c>
      <c r="F270" s="43">
        <v>965</v>
      </c>
      <c r="G270" s="25">
        <v>49.742268041237111</v>
      </c>
      <c r="H270" s="26">
        <v>1940</v>
      </c>
      <c r="I270" s="54">
        <v>100</v>
      </c>
    </row>
    <row r="271" spans="1:9" ht="15" customHeight="1" x14ac:dyDescent="0.25">
      <c r="A271" s="35">
        <v>210</v>
      </c>
      <c r="B271" s="35" t="str">
        <v>2007</v>
      </c>
      <c r="C271" s="36" t="str">
        <v>TLAHAB</v>
      </c>
      <c r="D271" s="44">
        <v>862</v>
      </c>
      <c r="E271" s="25">
        <v>51.86522262334536</v>
      </c>
      <c r="F271" s="44">
        <v>800</v>
      </c>
      <c r="G271" s="25">
        <v>48.134777376654633</v>
      </c>
      <c r="H271" s="26">
        <v>1662</v>
      </c>
      <c r="I271" s="54">
        <v>100</v>
      </c>
    </row>
    <row r="272" spans="1:9" ht="15" customHeight="1" x14ac:dyDescent="0.25">
      <c r="A272" s="35">
        <v>211</v>
      </c>
      <c r="B272" s="35" t="str">
        <v>2008</v>
      </c>
      <c r="C272" s="36" t="str">
        <v>DARMAYASA</v>
      </c>
      <c r="D272" s="44">
        <v>2317</v>
      </c>
      <c r="E272" s="25">
        <v>51.37472283813748</v>
      </c>
      <c r="F272" s="44">
        <v>2193</v>
      </c>
      <c r="G272" s="25">
        <v>48.625277161862527</v>
      </c>
      <c r="H272" s="26">
        <v>4510</v>
      </c>
      <c r="I272" s="54">
        <v>100</v>
      </c>
    </row>
    <row r="273" spans="1:11" ht="15" customHeight="1" x14ac:dyDescent="0.25">
      <c r="A273" s="35">
        <v>212</v>
      </c>
      <c r="B273" s="35" t="str">
        <v>2009</v>
      </c>
      <c r="C273" s="36" t="str">
        <v>PEJAWARAN</v>
      </c>
      <c r="D273" s="43">
        <v>2310</v>
      </c>
      <c r="E273" s="25">
        <v>52.547770700636946</v>
      </c>
      <c r="F273" s="43">
        <v>2086</v>
      </c>
      <c r="G273" s="25">
        <v>47.452229299363054</v>
      </c>
      <c r="H273" s="26">
        <v>4396</v>
      </c>
      <c r="I273" s="54">
        <v>100</v>
      </c>
    </row>
    <row r="274" spans="1:11" ht="15" customHeight="1" x14ac:dyDescent="0.25">
      <c r="A274" s="35">
        <v>213</v>
      </c>
      <c r="B274" s="35" t="str">
        <v>2010</v>
      </c>
      <c r="C274" s="36" t="str">
        <v>PENUSUPAN</v>
      </c>
      <c r="D274" s="44">
        <v>2241</v>
      </c>
      <c r="E274" s="25">
        <v>52.274317704688592</v>
      </c>
      <c r="F274" s="44">
        <v>2046</v>
      </c>
      <c r="G274" s="25">
        <v>47.725682295311408</v>
      </c>
      <c r="H274" s="26">
        <v>4287</v>
      </c>
      <c r="I274" s="54">
        <v>100</v>
      </c>
    </row>
    <row r="275" spans="1:11" ht="15" customHeight="1" x14ac:dyDescent="0.25">
      <c r="A275" s="35">
        <v>214</v>
      </c>
      <c r="B275" s="35" t="str">
        <v>2011</v>
      </c>
      <c r="C275" s="36" t="str">
        <v>RATAMBA</v>
      </c>
      <c r="D275" s="43">
        <v>1369</v>
      </c>
      <c r="E275" s="25">
        <v>52.07303157093952</v>
      </c>
      <c r="F275" s="43">
        <v>1260</v>
      </c>
      <c r="G275" s="25">
        <v>47.92696842906048</v>
      </c>
      <c r="H275" s="26">
        <v>2629</v>
      </c>
      <c r="I275" s="54">
        <v>100</v>
      </c>
    </row>
    <row r="276" spans="1:11" ht="15" customHeight="1" x14ac:dyDescent="0.25">
      <c r="A276" s="35">
        <v>215</v>
      </c>
      <c r="B276" s="35" t="str">
        <v>2012</v>
      </c>
      <c r="C276" s="36" t="str">
        <v>SIDENGOK</v>
      </c>
      <c r="D276" s="43">
        <v>1811</v>
      </c>
      <c r="E276" s="25">
        <v>51.965566714490677</v>
      </c>
      <c r="F276" s="43">
        <v>1674</v>
      </c>
      <c r="G276" s="25">
        <v>48.034433285509323</v>
      </c>
      <c r="H276" s="26">
        <v>3485</v>
      </c>
      <c r="I276" s="54">
        <v>100</v>
      </c>
    </row>
    <row r="277" spans="1:11" ht="15" customHeight="1" x14ac:dyDescent="0.25">
      <c r="A277" s="35">
        <v>216</v>
      </c>
      <c r="B277" s="35" t="str">
        <v>2013</v>
      </c>
      <c r="C277" s="36" t="str">
        <v>PEGUNDUNGAN</v>
      </c>
      <c r="D277" s="43">
        <v>942</v>
      </c>
      <c r="E277" s="25">
        <v>50.645161290322584</v>
      </c>
      <c r="F277" s="43">
        <v>918</v>
      </c>
      <c r="G277" s="25">
        <v>49.354838709677416</v>
      </c>
      <c r="H277" s="26">
        <v>1860</v>
      </c>
      <c r="I277" s="54">
        <v>100</v>
      </c>
    </row>
    <row r="278" spans="1:11" ht="15" customHeight="1" x14ac:dyDescent="0.25">
      <c r="A278" s="35">
        <v>217</v>
      </c>
      <c r="B278" s="35" t="str">
        <v>2014</v>
      </c>
      <c r="C278" s="36" t="str">
        <v>BEJI</v>
      </c>
      <c r="D278" s="43">
        <v>645</v>
      </c>
      <c r="E278" s="25">
        <v>50.988142292490124</v>
      </c>
      <c r="F278" s="43">
        <v>620</v>
      </c>
      <c r="G278" s="25">
        <v>49.011857707509883</v>
      </c>
      <c r="H278" s="26">
        <v>1265</v>
      </c>
      <c r="I278" s="54">
        <v>100</v>
      </c>
    </row>
    <row r="279" spans="1:11" ht="15" customHeight="1" x14ac:dyDescent="0.25">
      <c r="A279" s="35">
        <v>218</v>
      </c>
      <c r="B279" s="35" t="str">
        <v>2015</v>
      </c>
      <c r="C279" s="36" t="str">
        <v>SEMANGKUNG</v>
      </c>
      <c r="D279" s="44">
        <v>969</v>
      </c>
      <c r="E279" s="25">
        <v>50.706436420722135</v>
      </c>
      <c r="F279" s="44">
        <v>942</v>
      </c>
      <c r="G279" s="25">
        <v>49.293563579277865</v>
      </c>
      <c r="H279" s="26">
        <v>1911</v>
      </c>
      <c r="I279" s="54">
        <v>100</v>
      </c>
    </row>
    <row r="280" spans="1:11" ht="15" customHeight="1" x14ac:dyDescent="0.25">
      <c r="A280" s="35">
        <v>219</v>
      </c>
      <c r="B280" s="35" t="str">
        <v>2016</v>
      </c>
      <c r="C280" s="36" t="str">
        <v>CONDONGCAMPUR</v>
      </c>
      <c r="D280" s="22">
        <v>1715</v>
      </c>
      <c r="E280" s="46">
        <v>52.080170057698147</v>
      </c>
      <c r="F280" s="22">
        <v>1578</v>
      </c>
      <c r="G280" s="46">
        <v>47.919829942301853</v>
      </c>
      <c r="H280" s="26">
        <v>3293</v>
      </c>
      <c r="I280" s="56">
        <v>100</v>
      </c>
    </row>
    <row r="281" spans="1:11" ht="15" customHeight="1" x14ac:dyDescent="0.25">
      <c r="A281" s="35">
        <v>220</v>
      </c>
      <c r="B281" s="35" t="str">
        <v>2017</v>
      </c>
      <c r="C281" s="36" t="str">
        <v>GEMBOL</v>
      </c>
      <c r="D281" s="38">
        <v>1563</v>
      </c>
      <c r="E281" s="46">
        <v>52.344273275284657</v>
      </c>
      <c r="F281" s="38">
        <v>1423</v>
      </c>
      <c r="G281" s="46">
        <v>47.655726724715336</v>
      </c>
      <c r="H281" s="26">
        <v>2986</v>
      </c>
      <c r="I281" s="56">
        <v>100</v>
      </c>
    </row>
    <row r="282" spans="1:11" ht="15" customHeight="1" x14ac:dyDescent="0.25">
      <c r="A282" s="78" t="s">
        <v>574</v>
      </c>
      <c r="B282" s="78"/>
      <c r="C282" s="78"/>
      <c r="D282" s="39">
        <f>SUM(D265:D281)</f>
        <v>24278</v>
      </c>
      <c r="E282" s="40">
        <f>D282/$H$282*100</f>
        <v>51.842835789024136</v>
      </c>
      <c r="F282" s="39">
        <f>SUM(F265:F281)</f>
        <v>22552</v>
      </c>
      <c r="G282" s="40">
        <f>F282/$H$282*100</f>
        <v>48.157164210975871</v>
      </c>
      <c r="H282" s="39">
        <f>SUM(H265:H281)</f>
        <v>46830</v>
      </c>
      <c r="I282" s="41">
        <f>H282/$H$282*100</f>
        <v>100</v>
      </c>
    </row>
    <row r="283" spans="1:11" ht="15" customHeight="1" x14ac:dyDescent="0.25">
      <c r="A283" s="86" t="s">
        <v>601</v>
      </c>
      <c r="B283" s="86"/>
      <c r="C283" s="86"/>
      <c r="D283" s="86"/>
      <c r="E283" s="86"/>
      <c r="F283" s="86"/>
      <c r="G283" s="86"/>
      <c r="H283" s="86"/>
      <c r="I283" s="86"/>
    </row>
    <row r="284" spans="1:11" ht="15" customHeight="1" x14ac:dyDescent="0.25">
      <c r="A284" s="83" t="s">
        <v>570</v>
      </c>
      <c r="B284" s="83" t="s">
        <v>585</v>
      </c>
      <c r="C284" s="83"/>
      <c r="D284" s="84" t="s">
        <v>572</v>
      </c>
      <c r="E284" s="84"/>
      <c r="F284" s="84" t="s">
        <v>573</v>
      </c>
      <c r="G284" s="84"/>
      <c r="H284" s="85" t="s">
        <v>574</v>
      </c>
      <c r="I284" s="85"/>
    </row>
    <row r="285" spans="1:11" ht="15" customHeight="1" x14ac:dyDescent="0.25">
      <c r="A285" s="83"/>
      <c r="B285" s="32" t="s">
        <v>575</v>
      </c>
      <c r="C285" s="32" t="s">
        <v>576</v>
      </c>
      <c r="D285" s="33" t="s">
        <v>574</v>
      </c>
      <c r="E285" s="33" t="s">
        <v>577</v>
      </c>
      <c r="F285" s="33" t="s">
        <v>574</v>
      </c>
      <c r="G285" s="33" t="s">
        <v>577</v>
      </c>
      <c r="H285" s="34" t="s">
        <v>586</v>
      </c>
      <c r="I285" s="34" t="s">
        <v>577</v>
      </c>
    </row>
    <row r="286" spans="1:11" ht="15" customHeight="1" x14ac:dyDescent="0.25">
      <c r="A286" s="35">
        <v>221</v>
      </c>
      <c r="B286" s="35" t="str" cm="1">
        <f t="array" ref="B286:B293">RIGHT(_xlfn._xlws.FILTER('AGR_JK_3304_KAB. BANJARNEGARA'!$B$3:$B$300,(LEN('AGR_JK_3304_KAB. BANJARNEGARA'!$B$3:$B$300)=13)*(LEFT('AGR_JK_3304_KAB. BANJARNEGARA'!$B$3:$B$300,8)=MID(A283,13,8))),4)</f>
        <v>2001</v>
      </c>
      <c r="C286" s="36" t="str" cm="1">
        <f t="array" ref="C286:D293">_xlfn._xlws.FILTER('AGR_JK_3304_KAB. BANJARNEGARA'!$C$3:$D$300,(LEN('AGR_JK_3304_KAB. BANJARNEGARA'!$B$3:$B$300)=13)*(LEFT('AGR_JK_3304_KAB. BANJARNEGARA'!$B$3:$B$300,8)=MID(A283,13,8)))</f>
        <v>BATUR</v>
      </c>
      <c r="D286" s="22">
        <v>7133</v>
      </c>
      <c r="E286" s="25" cm="1">
        <f t="array" ref="E286:E293">D286:D293/$H$286:$H$293*100</f>
        <v>51.55764365739067</v>
      </c>
      <c r="F286" s="22" cm="1">
        <f t="array" ref="F286:F293">_xlfn._xlws.FILTER('AGR_JK_3304_KAB. BANJARNEGARA'!$E$3:$E$300,(LEN('AGR_JK_3304_KAB. BANJARNEGARA'!$B$3:$B$300)=13)*(LEFT('AGR_JK_3304_KAB. BANJARNEGARA'!$B$3:$B$300,8)=MID(A283,13,8)))</f>
        <v>6702</v>
      </c>
      <c r="G286" s="25" cm="1">
        <f t="array" ref="G286:G293">F286:F293/$H$286:$H$293*100</f>
        <v>48.442356342609322</v>
      </c>
      <c r="H286" s="26" cm="1">
        <f t="array" ref="H286:H293">_xlfn._xlws.FILTER('AGR_JK_3304_KAB. BANJARNEGARA'!$F$3:$F$300,(LEN('AGR_JK_3304_KAB. BANJARNEGARA'!$B$3:$B$300)=13)*(LEFT('AGR_JK_3304_KAB. BANJARNEGARA'!$B$3:$B$300,8)=MID(A283,13,8)))</f>
        <v>13835</v>
      </c>
      <c r="I286" s="54" cm="1">
        <f t="array" ref="I286:I293">H286:H293/$H$286:$H$293*100</f>
        <v>100</v>
      </c>
    </row>
    <row r="287" spans="1:11" ht="15" customHeight="1" x14ac:dyDescent="0.25">
      <c r="A287" s="35">
        <v>222</v>
      </c>
      <c r="B287" s="35" t="str">
        <v>2002</v>
      </c>
      <c r="C287" s="36" t="str">
        <v>SUMBEREJO</v>
      </c>
      <c r="D287" s="43">
        <v>2955</v>
      </c>
      <c r="E287" s="25">
        <v>51.960611921927203</v>
      </c>
      <c r="F287" s="43">
        <v>2732</v>
      </c>
      <c r="G287" s="25">
        <v>48.039388078072797</v>
      </c>
      <c r="H287" s="26">
        <v>5687</v>
      </c>
      <c r="I287" s="54">
        <v>100</v>
      </c>
    </row>
    <row r="288" spans="1:11" ht="15" customHeight="1" x14ac:dyDescent="0.25">
      <c r="A288" s="35">
        <v>223</v>
      </c>
      <c r="B288" s="35" t="str">
        <v>2003</v>
      </c>
      <c r="C288" s="36" t="str">
        <v>PASURENAN</v>
      </c>
      <c r="D288" s="43">
        <v>1489</v>
      </c>
      <c r="E288" s="25">
        <v>51.133241758241752</v>
      </c>
      <c r="F288" s="43">
        <v>1423</v>
      </c>
      <c r="G288" s="25">
        <v>48.866758241758241</v>
      </c>
      <c r="H288" s="26">
        <v>2912</v>
      </c>
      <c r="I288" s="54">
        <v>100</v>
      </c>
      <c r="K288" s="53"/>
    </row>
    <row r="289" spans="1:9" ht="15" customHeight="1" x14ac:dyDescent="0.25">
      <c r="A289" s="35">
        <v>224</v>
      </c>
      <c r="B289" s="35" t="str">
        <v>2004</v>
      </c>
      <c r="C289" s="36" t="str">
        <v>PEKASIRAN</v>
      </c>
      <c r="D289" s="43">
        <v>2755</v>
      </c>
      <c r="E289" s="25">
        <v>50.717967599410898</v>
      </c>
      <c r="F289" s="43">
        <v>2677</v>
      </c>
      <c r="G289" s="25">
        <v>49.282032400589102</v>
      </c>
      <c r="H289" s="26">
        <v>5432</v>
      </c>
      <c r="I289" s="54">
        <v>100</v>
      </c>
    </row>
    <row r="290" spans="1:9" ht="15" customHeight="1" x14ac:dyDescent="0.25">
      <c r="A290" s="35">
        <v>225</v>
      </c>
      <c r="B290" s="35" t="str">
        <v>2005</v>
      </c>
      <c r="C290" s="36" t="str">
        <v>KEPAKISAN</v>
      </c>
      <c r="D290" s="44">
        <v>1633</v>
      </c>
      <c r="E290" s="25">
        <v>51.46549007248661</v>
      </c>
      <c r="F290" s="44">
        <v>1540</v>
      </c>
      <c r="G290" s="25">
        <v>48.53450992751339</v>
      </c>
      <c r="H290" s="26">
        <v>3173</v>
      </c>
      <c r="I290" s="54">
        <v>100</v>
      </c>
    </row>
    <row r="291" spans="1:9" ht="15" customHeight="1" x14ac:dyDescent="0.25">
      <c r="A291" s="35">
        <v>226</v>
      </c>
      <c r="B291" s="35" t="str">
        <v>2006</v>
      </c>
      <c r="C291" s="36" t="str">
        <v>BAKAL</v>
      </c>
      <c r="D291" s="43">
        <v>1885</v>
      </c>
      <c r="E291" s="25">
        <v>52.086211660679751</v>
      </c>
      <c r="F291" s="43">
        <v>1734</v>
      </c>
      <c r="G291" s="25">
        <v>47.913788339320256</v>
      </c>
      <c r="H291" s="26">
        <v>3619</v>
      </c>
      <c r="I291" s="54">
        <v>100</v>
      </c>
    </row>
    <row r="292" spans="1:9" ht="15" customHeight="1" x14ac:dyDescent="0.25">
      <c r="A292" s="35">
        <v>227</v>
      </c>
      <c r="B292" s="35" t="str">
        <v>2007</v>
      </c>
      <c r="C292" s="36" t="str">
        <v>KARANGTENGAH</v>
      </c>
      <c r="D292" s="44">
        <v>2360</v>
      </c>
      <c r="E292" s="25">
        <v>51.360174102285093</v>
      </c>
      <c r="F292" s="44">
        <v>2235</v>
      </c>
      <c r="G292" s="25">
        <v>48.639825897714907</v>
      </c>
      <c r="H292" s="26">
        <v>4595</v>
      </c>
      <c r="I292" s="54">
        <v>100</v>
      </c>
    </row>
    <row r="293" spans="1:9" ht="15" customHeight="1" x14ac:dyDescent="0.25">
      <c r="A293" s="35">
        <v>228</v>
      </c>
      <c r="B293" s="35" t="str">
        <v>2008</v>
      </c>
      <c r="C293" s="36" t="str">
        <v>DIENG KULON</v>
      </c>
      <c r="D293" s="44">
        <v>2142</v>
      </c>
      <c r="E293" s="25">
        <v>51.864406779661024</v>
      </c>
      <c r="F293" s="44">
        <v>1988</v>
      </c>
      <c r="G293" s="25">
        <v>48.135593220338983</v>
      </c>
      <c r="H293" s="26">
        <v>4130</v>
      </c>
      <c r="I293" s="54">
        <v>100</v>
      </c>
    </row>
    <row r="294" spans="1:9" ht="15" customHeight="1" x14ac:dyDescent="0.25">
      <c r="A294" s="78" t="s">
        <v>574</v>
      </c>
      <c r="B294" s="78"/>
      <c r="C294" s="78"/>
      <c r="D294" s="39">
        <f>SUM(D286:D293)</f>
        <v>22352</v>
      </c>
      <c r="E294" s="40">
        <f>D294/$H$294*100</f>
        <v>51.522485766313999</v>
      </c>
      <c r="F294" s="39">
        <f>SUM(F286:F293)</f>
        <v>21031</v>
      </c>
      <c r="G294" s="40">
        <f>F294/$H$361*100</f>
        <v>1.9618891076954077</v>
      </c>
      <c r="H294" s="39">
        <f>SUM(H286:H293)</f>
        <v>43383</v>
      </c>
      <c r="I294" s="41">
        <f>(D294+F294)/$H$294*100</f>
        <v>100</v>
      </c>
    </row>
    <row r="295" spans="1:9" ht="15" customHeight="1" x14ac:dyDescent="0.25">
      <c r="A295" s="86" t="s">
        <v>602</v>
      </c>
      <c r="B295" s="86"/>
      <c r="C295" s="86"/>
      <c r="D295" s="86"/>
      <c r="E295" s="86"/>
      <c r="F295" s="86"/>
      <c r="G295" s="86"/>
      <c r="H295" s="86"/>
      <c r="I295" s="86"/>
    </row>
    <row r="296" spans="1:9" ht="15" customHeight="1" x14ac:dyDescent="0.25">
      <c r="A296" s="83" t="s">
        <v>570</v>
      </c>
      <c r="B296" s="83" t="s">
        <v>585</v>
      </c>
      <c r="C296" s="83"/>
      <c r="D296" s="84" t="s">
        <v>572</v>
      </c>
      <c r="E296" s="84"/>
      <c r="F296" s="84" t="s">
        <v>573</v>
      </c>
      <c r="G296" s="84"/>
      <c r="H296" s="85" t="s">
        <v>574</v>
      </c>
      <c r="I296" s="85"/>
    </row>
    <row r="297" spans="1:9" ht="15" customHeight="1" x14ac:dyDescent="0.25">
      <c r="A297" s="83"/>
      <c r="B297" s="32" t="s">
        <v>575</v>
      </c>
      <c r="C297" s="32" t="s">
        <v>576</v>
      </c>
      <c r="D297" s="33" t="s">
        <v>574</v>
      </c>
      <c r="E297" s="33" t="s">
        <v>577</v>
      </c>
      <c r="F297" s="33" t="s">
        <v>574</v>
      </c>
      <c r="G297" s="33" t="s">
        <v>577</v>
      </c>
      <c r="H297" s="34" t="s">
        <v>586</v>
      </c>
      <c r="I297" s="34" t="s">
        <v>577</v>
      </c>
    </row>
    <row r="298" spans="1:9" ht="15" customHeight="1" x14ac:dyDescent="0.25">
      <c r="A298" s="35">
        <v>229</v>
      </c>
      <c r="B298" s="35" t="str" cm="1">
        <f t="array" ref="B298:B314">RIGHT(_xlfn._xlws.FILTER('AGR_JK_3304_KAB. BANJARNEGARA'!$B$3:$B$300,(LEN('AGR_JK_3304_KAB. BANJARNEGARA'!$B$3:$B$300)=13)*(LEFT('AGR_JK_3304_KAB. BANJARNEGARA'!$B$3:$B$300,8)=MID(A295,13,8))),4)</f>
        <v>2001</v>
      </c>
      <c r="C298" s="36" t="str" cm="1">
        <f t="array" ref="C298:D314">_xlfn._xlws.FILTER('AGR_JK_3304_KAB. BANJARNEGARA'!$C$3:$D$300,(LEN('AGR_JK_3304_KAB. BANJARNEGARA'!$B$3:$B$300)=13)*(LEFT('AGR_JK_3304_KAB. BANJARNEGARA'!$B$3:$B$300,8)=MID(A295,13,8)))</f>
        <v>KARANGTENGAH</v>
      </c>
      <c r="D298" s="22">
        <v>965</v>
      </c>
      <c r="E298" s="25" cm="1">
        <f t="array" ref="E298:E314">D298:D314/$H$298:$H$314*100</f>
        <v>51.220806794055207</v>
      </c>
      <c r="F298" s="22" cm="1">
        <f t="array" ref="F298:F314">_xlfn._xlws.FILTER('AGR_JK_3304_KAB. BANJARNEGARA'!$E$3:$E$300,(LEN('AGR_JK_3304_KAB. BANJARNEGARA'!$B$3:$B$300)=13)*(LEFT('AGR_JK_3304_KAB. BANJARNEGARA'!$B$3:$B$300,8)=MID(A295,13,8)))</f>
        <v>919</v>
      </c>
      <c r="G298" s="25" cm="1">
        <f t="array" ref="G298:G314">F298:F314/$H$298:$H$314*100</f>
        <v>48.7791932059448</v>
      </c>
      <c r="H298" s="26" cm="1">
        <f t="array" ref="H298:H314">_xlfn._xlws.FILTER('AGR_JK_3304_KAB. BANJARNEGARA'!$F$3:$F$300,(LEN('AGR_JK_3304_KAB. BANJARNEGARA'!$B$3:$B$300)=13)*(LEFT('AGR_JK_3304_KAB. BANJARNEGARA'!$B$3:$B$300,8)=MID(A295,13,8)))</f>
        <v>1884</v>
      </c>
      <c r="I298" s="54" cm="1">
        <f t="array" ref="I298:I314">H298:H314/$H$298:$H$314*100</f>
        <v>100</v>
      </c>
    </row>
    <row r="299" spans="1:9" ht="15" customHeight="1" x14ac:dyDescent="0.25">
      <c r="A299" s="35">
        <v>230</v>
      </c>
      <c r="B299" s="35" t="str">
        <v>2002</v>
      </c>
      <c r="C299" s="36" t="str">
        <v>SUWIDAK</v>
      </c>
      <c r="D299" s="43">
        <v>1038</v>
      </c>
      <c r="E299" s="25">
        <v>51.564828614008938</v>
      </c>
      <c r="F299" s="43">
        <v>975</v>
      </c>
      <c r="G299" s="25">
        <v>48.435171385991062</v>
      </c>
      <c r="H299" s="26">
        <v>2013</v>
      </c>
      <c r="I299" s="54">
        <v>100</v>
      </c>
    </row>
    <row r="300" spans="1:9" ht="15" customHeight="1" x14ac:dyDescent="0.25">
      <c r="A300" s="35">
        <v>231</v>
      </c>
      <c r="B300" s="35" t="str">
        <v>2003</v>
      </c>
      <c r="C300" s="36" t="str">
        <v>BANTAR</v>
      </c>
      <c r="D300" s="43">
        <v>1375</v>
      </c>
      <c r="E300" s="25">
        <v>52.541077569736338</v>
      </c>
      <c r="F300" s="43">
        <v>1242</v>
      </c>
      <c r="G300" s="25">
        <v>47.458922430263662</v>
      </c>
      <c r="H300" s="26">
        <v>2617</v>
      </c>
      <c r="I300" s="54">
        <v>100</v>
      </c>
    </row>
    <row r="301" spans="1:9" ht="15" customHeight="1" x14ac:dyDescent="0.25">
      <c r="A301" s="35">
        <v>232</v>
      </c>
      <c r="B301" s="35" t="str">
        <v>2004</v>
      </c>
      <c r="C301" s="36" t="str">
        <v>PANDANSARI</v>
      </c>
      <c r="D301" s="43">
        <v>1979</v>
      </c>
      <c r="E301" s="25">
        <v>53.099007244432514</v>
      </c>
      <c r="F301" s="43">
        <v>1748</v>
      </c>
      <c r="G301" s="25">
        <v>46.900992755567486</v>
      </c>
      <c r="H301" s="26">
        <v>3727</v>
      </c>
      <c r="I301" s="54">
        <v>100</v>
      </c>
    </row>
    <row r="302" spans="1:9" ht="15" customHeight="1" x14ac:dyDescent="0.25">
      <c r="A302" s="35">
        <v>233</v>
      </c>
      <c r="B302" s="35" t="str">
        <v>2005</v>
      </c>
      <c r="C302" s="36" t="str">
        <v>PAGERGUNUNG</v>
      </c>
      <c r="D302" s="44">
        <v>1023</v>
      </c>
      <c r="E302" s="25">
        <v>51.5625</v>
      </c>
      <c r="F302" s="44">
        <v>961</v>
      </c>
      <c r="G302" s="25">
        <v>48.4375</v>
      </c>
      <c r="H302" s="26">
        <v>1984</v>
      </c>
      <c r="I302" s="54">
        <v>100</v>
      </c>
    </row>
    <row r="303" spans="1:9" ht="15" customHeight="1" x14ac:dyDescent="0.25">
      <c r="A303" s="35">
        <v>234</v>
      </c>
      <c r="B303" s="35" t="str">
        <v>2006</v>
      </c>
      <c r="C303" s="36" t="str">
        <v>DAWUHAN</v>
      </c>
      <c r="D303" s="43">
        <v>1071</v>
      </c>
      <c r="E303" s="25">
        <v>52.810650887573964</v>
      </c>
      <c r="F303" s="43">
        <v>957</v>
      </c>
      <c r="G303" s="25">
        <v>47.189349112426036</v>
      </c>
      <c r="H303" s="26">
        <v>2028</v>
      </c>
      <c r="I303" s="54">
        <v>100</v>
      </c>
    </row>
    <row r="304" spans="1:9" ht="15" customHeight="1" x14ac:dyDescent="0.25">
      <c r="A304" s="35">
        <v>235</v>
      </c>
      <c r="B304" s="35" t="str">
        <v>2007</v>
      </c>
      <c r="C304" s="36" t="str">
        <v>KUBANG</v>
      </c>
      <c r="D304" s="44">
        <v>2236</v>
      </c>
      <c r="E304" s="25">
        <v>53.073819131260379</v>
      </c>
      <c r="F304" s="44">
        <v>1977</v>
      </c>
      <c r="G304" s="25">
        <v>46.926180868739614</v>
      </c>
      <c r="H304" s="26">
        <v>4213</v>
      </c>
      <c r="I304" s="54">
        <v>100</v>
      </c>
    </row>
    <row r="305" spans="1:9" ht="15" customHeight="1" x14ac:dyDescent="0.25">
      <c r="A305" s="35">
        <v>236</v>
      </c>
      <c r="B305" s="35" t="str">
        <v>2008</v>
      </c>
      <c r="C305" s="36" t="str">
        <v>SUSUKAN</v>
      </c>
      <c r="D305" s="44">
        <v>1314</v>
      </c>
      <c r="E305" s="25">
        <v>51.509212073696588</v>
      </c>
      <c r="F305" s="44">
        <v>1237</v>
      </c>
      <c r="G305" s="25">
        <v>48.490787926303405</v>
      </c>
      <c r="H305" s="26">
        <v>2551</v>
      </c>
      <c r="I305" s="54">
        <v>100</v>
      </c>
    </row>
    <row r="306" spans="1:9" ht="15" customHeight="1" x14ac:dyDescent="0.25">
      <c r="A306" s="35">
        <v>237</v>
      </c>
      <c r="B306" s="35" t="str">
        <v>2009</v>
      </c>
      <c r="C306" s="36" t="str">
        <v>WANAYASA</v>
      </c>
      <c r="D306" s="43">
        <v>2727</v>
      </c>
      <c r="E306" s="25">
        <v>50.668896321070235</v>
      </c>
      <c r="F306" s="43">
        <v>2655</v>
      </c>
      <c r="G306" s="25">
        <v>49.331103678929765</v>
      </c>
      <c r="H306" s="26">
        <v>5382</v>
      </c>
      <c r="I306" s="54">
        <v>100</v>
      </c>
    </row>
    <row r="307" spans="1:9" ht="15" customHeight="1" x14ac:dyDescent="0.25">
      <c r="A307" s="35">
        <v>238</v>
      </c>
      <c r="B307" s="35" t="str">
        <v>2010</v>
      </c>
      <c r="C307" s="36" t="str">
        <v>PESANTREN</v>
      </c>
      <c r="D307" s="44">
        <v>1582</v>
      </c>
      <c r="E307" s="25">
        <v>49.984202211690366</v>
      </c>
      <c r="F307" s="44">
        <v>1583</v>
      </c>
      <c r="G307" s="25">
        <v>50.015797788309634</v>
      </c>
      <c r="H307" s="26">
        <v>3165</v>
      </c>
      <c r="I307" s="54">
        <v>100</v>
      </c>
    </row>
    <row r="308" spans="1:9" ht="15" customHeight="1" x14ac:dyDescent="0.25">
      <c r="A308" s="35">
        <v>239</v>
      </c>
      <c r="B308" s="35" t="str">
        <v>2011</v>
      </c>
      <c r="C308" s="36" t="str">
        <v>BALUN</v>
      </c>
      <c r="D308" s="43">
        <v>2044</v>
      </c>
      <c r="E308" s="25">
        <v>52.129558786023978</v>
      </c>
      <c r="F308" s="43">
        <v>1877</v>
      </c>
      <c r="G308" s="25">
        <v>47.870441213976029</v>
      </c>
      <c r="H308" s="26">
        <v>3921</v>
      </c>
      <c r="I308" s="54">
        <v>100</v>
      </c>
    </row>
    <row r="309" spans="1:9" ht="15" customHeight="1" x14ac:dyDescent="0.25">
      <c r="A309" s="35">
        <v>240</v>
      </c>
      <c r="B309" s="35" t="str">
        <v>2012</v>
      </c>
      <c r="C309" s="36" t="str">
        <v>TEMPURAN</v>
      </c>
      <c r="D309" s="43">
        <v>1566</v>
      </c>
      <c r="E309" s="25">
        <v>52.061170212765958</v>
      </c>
      <c r="F309" s="43">
        <v>1442</v>
      </c>
      <c r="G309" s="25">
        <v>47.938829787234042</v>
      </c>
      <c r="H309" s="26">
        <v>3008</v>
      </c>
      <c r="I309" s="54">
        <v>100</v>
      </c>
    </row>
    <row r="310" spans="1:9" ht="15" customHeight="1" x14ac:dyDescent="0.25">
      <c r="A310" s="35">
        <v>241</v>
      </c>
      <c r="B310" s="35" t="str">
        <v>2013</v>
      </c>
      <c r="C310" s="36" t="str">
        <v>WANARAJA</v>
      </c>
      <c r="D310" s="43">
        <v>2736</v>
      </c>
      <c r="E310" s="25">
        <v>51.149747616376892</v>
      </c>
      <c r="F310" s="43">
        <v>2613</v>
      </c>
      <c r="G310" s="25">
        <v>48.850252383623108</v>
      </c>
      <c r="H310" s="26">
        <v>5349</v>
      </c>
      <c r="I310" s="54">
        <v>100</v>
      </c>
    </row>
    <row r="311" spans="1:9" ht="15" customHeight="1" x14ac:dyDescent="0.25">
      <c r="A311" s="35">
        <v>242</v>
      </c>
      <c r="B311" s="35" t="str">
        <v>2014</v>
      </c>
      <c r="C311" s="36" t="str">
        <v>JATILAWANG</v>
      </c>
      <c r="D311" s="43">
        <v>2738</v>
      </c>
      <c r="E311" s="25">
        <v>51.466165413533837</v>
      </c>
      <c r="F311" s="43">
        <v>2582</v>
      </c>
      <c r="G311" s="25">
        <v>48.53383458646617</v>
      </c>
      <c r="H311" s="26">
        <v>5320</v>
      </c>
      <c r="I311" s="54">
        <v>100</v>
      </c>
    </row>
    <row r="312" spans="1:9" ht="15" customHeight="1" x14ac:dyDescent="0.25">
      <c r="A312" s="35">
        <v>243</v>
      </c>
      <c r="B312" s="35" t="str">
        <v>2015</v>
      </c>
      <c r="C312" s="36" t="str">
        <v>LEGOKSAYEM</v>
      </c>
      <c r="D312" s="44">
        <v>511</v>
      </c>
      <c r="E312" s="25">
        <v>50.694444444444443</v>
      </c>
      <c r="F312" s="44">
        <v>497</v>
      </c>
      <c r="G312" s="25">
        <v>49.305555555555557</v>
      </c>
      <c r="H312" s="26">
        <v>1008</v>
      </c>
      <c r="I312" s="54">
        <v>100</v>
      </c>
    </row>
    <row r="313" spans="1:9" ht="15" customHeight="1" x14ac:dyDescent="0.25">
      <c r="A313" s="35">
        <v>244</v>
      </c>
      <c r="B313" s="35" t="str">
        <v>2016</v>
      </c>
      <c r="C313" s="36" t="str">
        <v>KASIMPAR</v>
      </c>
      <c r="D313" s="22">
        <v>942</v>
      </c>
      <c r="E313" s="46">
        <v>51.001624255549537</v>
      </c>
      <c r="F313" s="22">
        <v>905</v>
      </c>
      <c r="G313" s="46">
        <v>48.998375744450463</v>
      </c>
      <c r="H313" s="26">
        <v>1847</v>
      </c>
      <c r="I313" s="56">
        <v>100</v>
      </c>
    </row>
    <row r="314" spans="1:9" ht="15" customHeight="1" x14ac:dyDescent="0.25">
      <c r="A314" s="35">
        <v>245</v>
      </c>
      <c r="B314" s="35" t="str">
        <v>2017</v>
      </c>
      <c r="C314" s="36" t="str">
        <v>PENANGGUNGAN</v>
      </c>
      <c r="D314" s="38">
        <v>1307</v>
      </c>
      <c r="E314" s="46">
        <v>51.762376237623762</v>
      </c>
      <c r="F314" s="38">
        <v>1218</v>
      </c>
      <c r="G314" s="46">
        <v>48.237623762376238</v>
      </c>
      <c r="H314" s="26">
        <v>2525</v>
      </c>
      <c r="I314" s="56">
        <v>100</v>
      </c>
    </row>
    <row r="315" spans="1:9" ht="15" customHeight="1" x14ac:dyDescent="0.25">
      <c r="A315" s="78" t="s">
        <v>574</v>
      </c>
      <c r="B315" s="78"/>
      <c r="C315" s="78"/>
      <c r="D315" s="39">
        <f>SUM(D298:D314)</f>
        <v>27154</v>
      </c>
      <c r="E315" s="40">
        <f>D315/$H$315*100</f>
        <v>51.680560313653835</v>
      </c>
      <c r="F315" s="39">
        <f>SUM(F298:F314)</f>
        <v>25388</v>
      </c>
      <c r="G315" s="40">
        <f>F315/$H$315*100</f>
        <v>48.319439686346158</v>
      </c>
      <c r="H315" s="39">
        <f>SUM(H298:H314)</f>
        <v>52542</v>
      </c>
      <c r="I315" s="41">
        <f>H315/$H$315*100</f>
        <v>100</v>
      </c>
    </row>
    <row r="316" spans="1:9" ht="15" customHeight="1" x14ac:dyDescent="0.25">
      <c r="A316" s="86" t="s">
        <v>603</v>
      </c>
      <c r="B316" s="86"/>
      <c r="C316" s="86"/>
      <c r="D316" s="86"/>
      <c r="E316" s="86"/>
      <c r="F316" s="86"/>
      <c r="G316" s="86"/>
      <c r="H316" s="86"/>
      <c r="I316" s="86"/>
    </row>
    <row r="317" spans="1:9" ht="15" customHeight="1" x14ac:dyDescent="0.25">
      <c r="A317" s="83" t="s">
        <v>570</v>
      </c>
      <c r="B317" s="83" t="s">
        <v>585</v>
      </c>
      <c r="C317" s="83"/>
      <c r="D317" s="84" t="s">
        <v>572</v>
      </c>
      <c r="E317" s="84"/>
      <c r="F317" s="84" t="s">
        <v>573</v>
      </c>
      <c r="G317" s="84"/>
      <c r="H317" s="85" t="s">
        <v>574</v>
      </c>
      <c r="I317" s="85"/>
    </row>
    <row r="318" spans="1:9" ht="15" customHeight="1" x14ac:dyDescent="0.25">
      <c r="A318" s="83"/>
      <c r="B318" s="32" t="s">
        <v>575</v>
      </c>
      <c r="C318" s="32" t="s">
        <v>576</v>
      </c>
      <c r="D318" s="33" t="s">
        <v>574</v>
      </c>
      <c r="E318" s="33" t="s">
        <v>577</v>
      </c>
      <c r="F318" s="33" t="s">
        <v>574</v>
      </c>
      <c r="G318" s="33" t="s">
        <v>577</v>
      </c>
      <c r="H318" s="34" t="s">
        <v>586</v>
      </c>
      <c r="I318" s="34" t="s">
        <v>577</v>
      </c>
    </row>
    <row r="319" spans="1:9" ht="15" customHeight="1" x14ac:dyDescent="0.25">
      <c r="A319" s="35">
        <v>246</v>
      </c>
      <c r="B319" s="35" t="str" cm="1">
        <f t="array" ref="B319:B334">RIGHT(_xlfn._xlws.FILTER('AGR_JK_3304_KAB. BANJARNEGARA'!$B$3:$B$300,(LEN('AGR_JK_3304_KAB. BANJARNEGARA'!$B$3:$B$300)=13)*(LEFT('AGR_JK_3304_KAB. BANJARNEGARA'!$B$3:$B$300,8)=MID(A316,13,8))),4)</f>
        <v>2001</v>
      </c>
      <c r="C319" s="36" t="str" cm="1">
        <f t="array" ref="C319:D334">_xlfn._xlws.FILTER('AGR_JK_3304_KAB. BANJARNEGARA'!$C$3:$D$300,(LEN('AGR_JK_3304_KAB. BANJARNEGARA'!$B$3:$B$300)=13)*(LEFT('AGR_JK_3304_KAB. BANJARNEGARA'!$B$3:$B$300,8)=MID(A316,13,8)))</f>
        <v>KALIBENING</v>
      </c>
      <c r="D319" s="22">
        <v>2619</v>
      </c>
      <c r="E319" s="25" cm="1">
        <f t="array" ref="E319:E334">D319:D334/$H$319:$H$334*100</f>
        <v>50.903790087463548</v>
      </c>
      <c r="F319" s="22" cm="1">
        <f t="array" ref="F319:F334">_xlfn._xlws.FILTER('AGR_JK_3304_KAB. BANJARNEGARA'!$E$3:$E$300,(LEN('AGR_JK_3304_KAB. BANJARNEGARA'!$B$3:$B$300)=13)*(LEFT('AGR_JK_3304_KAB. BANJARNEGARA'!$B$3:$B$300,8)=MID(A316,13,8)))</f>
        <v>2526</v>
      </c>
      <c r="G319" s="25" cm="1">
        <f t="array" ref="G319:G334">F319:F334/$H$319:$H$334*100</f>
        <v>49.096209912536445</v>
      </c>
      <c r="H319" s="26" cm="1">
        <f t="array" ref="H319:H334">_xlfn._xlws.FILTER('AGR_JK_3304_KAB. BANJARNEGARA'!$F$3:$F$300,(LEN('AGR_JK_3304_KAB. BANJARNEGARA'!$B$3:$B$300)=13)*(LEFT('AGR_JK_3304_KAB. BANJARNEGARA'!$B$3:$B$300,8)=MID(A316,13,8)))</f>
        <v>5145</v>
      </c>
      <c r="I319" s="54" cm="1">
        <f t="array" ref="I319:I334">H319:H334/$H$319:$H$334*100</f>
        <v>100</v>
      </c>
    </row>
    <row r="320" spans="1:9" ht="15" customHeight="1" x14ac:dyDescent="0.25">
      <c r="A320" s="35">
        <v>247</v>
      </c>
      <c r="B320" s="35" t="str">
        <v>2002</v>
      </c>
      <c r="C320" s="36" t="str">
        <v>ASINAN</v>
      </c>
      <c r="D320" s="43">
        <v>1280</v>
      </c>
      <c r="E320" s="25">
        <v>51.571313456889598</v>
      </c>
      <c r="F320" s="43">
        <v>1202</v>
      </c>
      <c r="G320" s="25">
        <v>48.428686543110395</v>
      </c>
      <c r="H320" s="26">
        <v>2482</v>
      </c>
      <c r="I320" s="54">
        <v>100</v>
      </c>
    </row>
    <row r="321" spans="1:9" ht="15" customHeight="1" x14ac:dyDescent="0.25">
      <c r="A321" s="35">
        <v>248</v>
      </c>
      <c r="B321" s="35" t="str">
        <v>2003</v>
      </c>
      <c r="C321" s="36" t="str">
        <v>SEMBAWA</v>
      </c>
      <c r="D321" s="43">
        <v>1301</v>
      </c>
      <c r="E321" s="25">
        <v>52.438532849657392</v>
      </c>
      <c r="F321" s="43">
        <v>1180</v>
      </c>
      <c r="G321" s="25">
        <v>47.561467150342601</v>
      </c>
      <c r="H321" s="26">
        <v>2481</v>
      </c>
      <c r="I321" s="54">
        <v>100</v>
      </c>
    </row>
    <row r="322" spans="1:9" ht="15" customHeight="1" x14ac:dyDescent="0.25">
      <c r="A322" s="35">
        <v>249</v>
      </c>
      <c r="B322" s="35" t="str">
        <v>2004</v>
      </c>
      <c r="C322" s="36" t="str">
        <v>KALIBOMBONG</v>
      </c>
      <c r="D322" s="43">
        <v>2349</v>
      </c>
      <c r="E322" s="25">
        <v>51.054118669854375</v>
      </c>
      <c r="F322" s="43">
        <v>2252</v>
      </c>
      <c r="G322" s="25">
        <v>48.945881330145617</v>
      </c>
      <c r="H322" s="26">
        <v>4601</v>
      </c>
      <c r="I322" s="54">
        <v>100</v>
      </c>
    </row>
    <row r="323" spans="1:9" ht="15" customHeight="1" x14ac:dyDescent="0.25">
      <c r="A323" s="35">
        <v>250</v>
      </c>
      <c r="B323" s="35" t="str">
        <v>2005</v>
      </c>
      <c r="C323" s="36" t="str">
        <v>MAJATENGAH</v>
      </c>
      <c r="D323" s="44">
        <v>1168</v>
      </c>
      <c r="E323" s="25">
        <v>50.606585788561517</v>
      </c>
      <c r="F323" s="44">
        <v>1140</v>
      </c>
      <c r="G323" s="25">
        <v>49.393414211438476</v>
      </c>
      <c r="H323" s="26">
        <v>2308</v>
      </c>
      <c r="I323" s="54">
        <v>100</v>
      </c>
    </row>
    <row r="324" spans="1:9" ht="15" customHeight="1" x14ac:dyDescent="0.25">
      <c r="A324" s="35">
        <v>251</v>
      </c>
      <c r="B324" s="35" t="str">
        <v>2006</v>
      </c>
      <c r="C324" s="36" t="str">
        <v>KALISAT KIDUL</v>
      </c>
      <c r="D324" s="43">
        <v>2182</v>
      </c>
      <c r="E324" s="25">
        <v>51.064825649426638</v>
      </c>
      <c r="F324" s="43">
        <v>2091</v>
      </c>
      <c r="G324" s="25">
        <v>48.935174350573369</v>
      </c>
      <c r="H324" s="26">
        <v>4273</v>
      </c>
      <c r="I324" s="54">
        <v>100</v>
      </c>
    </row>
    <row r="325" spans="1:9" ht="15" customHeight="1" x14ac:dyDescent="0.25">
      <c r="A325" s="35">
        <v>252</v>
      </c>
      <c r="B325" s="35" t="str">
        <v>2007</v>
      </c>
      <c r="C325" s="36" t="str">
        <v>SIRUKEM</v>
      </c>
      <c r="D325" s="44">
        <v>1111</v>
      </c>
      <c r="E325" s="25">
        <v>52.929966650786085</v>
      </c>
      <c r="F325" s="44">
        <v>988</v>
      </c>
      <c r="G325" s="25">
        <v>47.070033349213915</v>
      </c>
      <c r="H325" s="26">
        <v>2099</v>
      </c>
      <c r="I325" s="54">
        <v>100</v>
      </c>
    </row>
    <row r="326" spans="1:9" ht="15" customHeight="1" x14ac:dyDescent="0.25">
      <c r="A326" s="35">
        <v>253</v>
      </c>
      <c r="B326" s="35" t="str">
        <v>2008</v>
      </c>
      <c r="C326" s="36" t="str">
        <v>KERTOSARI</v>
      </c>
      <c r="D326" s="44">
        <v>1200</v>
      </c>
      <c r="E326" s="25">
        <v>51.347881899871631</v>
      </c>
      <c r="F326" s="44">
        <v>1137</v>
      </c>
      <c r="G326" s="25">
        <v>48.652118100128369</v>
      </c>
      <c r="H326" s="26">
        <v>2337</v>
      </c>
      <c r="I326" s="54">
        <v>100</v>
      </c>
    </row>
    <row r="327" spans="1:9" ht="15" customHeight="1" x14ac:dyDescent="0.25">
      <c r="A327" s="35">
        <v>254</v>
      </c>
      <c r="B327" s="35" t="str">
        <v>2009</v>
      </c>
      <c r="C327" s="36" t="str">
        <v>SIDAKANGEN</v>
      </c>
      <c r="D327" s="43">
        <v>1774</v>
      </c>
      <c r="E327" s="25">
        <v>50.933103646281943</v>
      </c>
      <c r="F327" s="43">
        <v>1709</v>
      </c>
      <c r="G327" s="25">
        <v>49.066896353718057</v>
      </c>
      <c r="H327" s="26">
        <v>3483</v>
      </c>
      <c r="I327" s="54">
        <v>100</v>
      </c>
    </row>
    <row r="328" spans="1:9" ht="15" customHeight="1" x14ac:dyDescent="0.25">
      <c r="A328" s="35">
        <v>255</v>
      </c>
      <c r="B328" s="35" t="str">
        <v>2010</v>
      </c>
      <c r="C328" s="36" t="str">
        <v>SIKUMPUL</v>
      </c>
      <c r="D328" s="44">
        <v>1595</v>
      </c>
      <c r="E328" s="25">
        <v>50.173010380622841</v>
      </c>
      <c r="F328" s="44">
        <v>1584</v>
      </c>
      <c r="G328" s="25">
        <v>49.826989619377159</v>
      </c>
      <c r="H328" s="26">
        <v>3179</v>
      </c>
      <c r="I328" s="54">
        <v>100</v>
      </c>
    </row>
    <row r="329" spans="1:9" ht="15" customHeight="1" x14ac:dyDescent="0.25">
      <c r="A329" s="35">
        <v>256</v>
      </c>
      <c r="B329" s="35" t="str">
        <v>2011</v>
      </c>
      <c r="C329" s="36" t="str">
        <v>GUNUNGLANGIT</v>
      </c>
      <c r="D329" s="43">
        <v>1430</v>
      </c>
      <c r="E329" s="25">
        <v>49.446749654218536</v>
      </c>
      <c r="F329" s="43">
        <v>1462</v>
      </c>
      <c r="G329" s="25">
        <v>50.553250345781464</v>
      </c>
      <c r="H329" s="26">
        <v>2892</v>
      </c>
      <c r="I329" s="54">
        <v>100</v>
      </c>
    </row>
    <row r="330" spans="1:9" ht="15" customHeight="1" x14ac:dyDescent="0.25">
      <c r="A330" s="35">
        <v>257</v>
      </c>
      <c r="B330" s="35" t="str">
        <v>2012</v>
      </c>
      <c r="C330" s="36" t="str">
        <v>BEDANA</v>
      </c>
      <c r="D330" s="43">
        <v>967</v>
      </c>
      <c r="E330" s="25">
        <v>51.35422198619225</v>
      </c>
      <c r="F330" s="43">
        <v>916</v>
      </c>
      <c r="G330" s="25">
        <v>48.645778013807757</v>
      </c>
      <c r="H330" s="26">
        <v>1883</v>
      </c>
      <c r="I330" s="54">
        <v>100</v>
      </c>
    </row>
    <row r="331" spans="1:9" ht="15" customHeight="1" x14ac:dyDescent="0.25">
      <c r="A331" s="35">
        <v>258</v>
      </c>
      <c r="B331" s="35" t="str">
        <v>2013</v>
      </c>
      <c r="C331" s="36" t="str">
        <v>SIRUKUN</v>
      </c>
      <c r="D331" s="43">
        <v>1108</v>
      </c>
      <c r="E331" s="25">
        <v>50.989415554532904</v>
      </c>
      <c r="F331" s="43">
        <v>1065</v>
      </c>
      <c r="G331" s="25">
        <v>49.010584445467096</v>
      </c>
      <c r="H331" s="26">
        <v>2173</v>
      </c>
      <c r="I331" s="54">
        <v>100</v>
      </c>
    </row>
    <row r="332" spans="1:9" ht="15" customHeight="1" x14ac:dyDescent="0.25">
      <c r="A332" s="35">
        <v>259</v>
      </c>
      <c r="B332" s="35" t="str">
        <v>2014</v>
      </c>
      <c r="C332" s="36" t="str">
        <v>KARANGANYAR</v>
      </c>
      <c r="D332" s="43">
        <v>1534</v>
      </c>
      <c r="E332" s="25">
        <v>50.643776824034333</v>
      </c>
      <c r="F332" s="43">
        <v>1495</v>
      </c>
      <c r="G332" s="25">
        <v>49.356223175965667</v>
      </c>
      <c r="H332" s="26">
        <v>3029</v>
      </c>
      <c r="I332" s="54">
        <v>100</v>
      </c>
    </row>
    <row r="333" spans="1:9" ht="15" customHeight="1" x14ac:dyDescent="0.25">
      <c r="A333" s="35">
        <v>260</v>
      </c>
      <c r="B333" s="35" t="str">
        <v>2015</v>
      </c>
      <c r="C333" s="36" t="str">
        <v>PLORENGAN</v>
      </c>
      <c r="D333" s="44">
        <v>2001</v>
      </c>
      <c r="E333" s="25">
        <v>52.028081123244931</v>
      </c>
      <c r="F333" s="44">
        <v>1845</v>
      </c>
      <c r="G333" s="25">
        <v>47.971918876755069</v>
      </c>
      <c r="H333" s="26">
        <v>3846</v>
      </c>
      <c r="I333" s="54">
        <v>100</v>
      </c>
    </row>
    <row r="334" spans="1:9" ht="15" customHeight="1" x14ac:dyDescent="0.25">
      <c r="A334" s="35">
        <v>261</v>
      </c>
      <c r="B334" s="35" t="str">
        <v>2016</v>
      </c>
      <c r="C334" s="36" t="str">
        <v>KASINOMAN</v>
      </c>
      <c r="D334" s="22">
        <v>1529</v>
      </c>
      <c r="E334" s="46">
        <v>51.360429963050045</v>
      </c>
      <c r="F334" s="22">
        <v>1448</v>
      </c>
      <c r="G334" s="46">
        <v>48.639570036949948</v>
      </c>
      <c r="H334" s="26">
        <v>2977</v>
      </c>
      <c r="I334" s="56">
        <v>100</v>
      </c>
    </row>
    <row r="335" spans="1:9" ht="15" customHeight="1" x14ac:dyDescent="0.25">
      <c r="A335" s="78" t="s">
        <v>574</v>
      </c>
      <c r="B335" s="78"/>
      <c r="C335" s="78"/>
      <c r="D335" s="39">
        <f>SUM(D319:D334)</f>
        <v>25148</v>
      </c>
      <c r="E335" s="40">
        <f>D335/$H$335*100</f>
        <v>51.126290965276091</v>
      </c>
      <c r="F335" s="39">
        <f>SUM(F319:F334)</f>
        <v>24040</v>
      </c>
      <c r="G335" s="40">
        <f>F335/$H$335*100</f>
        <v>48.873709034723916</v>
      </c>
      <c r="H335" s="39">
        <f>SUM(H319:H334)</f>
        <v>49188</v>
      </c>
      <c r="I335" s="41">
        <f>H335/$H$335*100</f>
        <v>100</v>
      </c>
    </row>
    <row r="336" spans="1:9" ht="15" customHeight="1" x14ac:dyDescent="0.25">
      <c r="A336" s="80" t="s">
        <v>604</v>
      </c>
      <c r="B336" s="81"/>
      <c r="C336" s="81"/>
      <c r="D336" s="81"/>
      <c r="E336" s="81"/>
      <c r="F336" s="81"/>
      <c r="G336" s="81"/>
      <c r="H336" s="81"/>
      <c r="I336" s="82"/>
    </row>
    <row r="337" spans="1:9" ht="15" customHeight="1" x14ac:dyDescent="0.25">
      <c r="A337" s="83" t="s">
        <v>570</v>
      </c>
      <c r="B337" s="83" t="s">
        <v>585</v>
      </c>
      <c r="C337" s="83"/>
      <c r="D337" s="84" t="s">
        <v>572</v>
      </c>
      <c r="E337" s="84"/>
      <c r="F337" s="84" t="s">
        <v>573</v>
      </c>
      <c r="G337" s="84"/>
      <c r="H337" s="85" t="s">
        <v>574</v>
      </c>
      <c r="I337" s="85"/>
    </row>
    <row r="338" spans="1:9" ht="15" customHeight="1" x14ac:dyDescent="0.25">
      <c r="A338" s="83"/>
      <c r="B338" s="32" t="s">
        <v>575</v>
      </c>
      <c r="C338" s="32" t="s">
        <v>576</v>
      </c>
      <c r="D338" s="33" t="s">
        <v>574</v>
      </c>
      <c r="E338" s="33" t="s">
        <v>577</v>
      </c>
      <c r="F338" s="33" t="s">
        <v>574</v>
      </c>
      <c r="G338" s="33" t="s">
        <v>577</v>
      </c>
      <c r="H338" s="34" t="s">
        <v>586</v>
      </c>
      <c r="I338" s="34" t="s">
        <v>577</v>
      </c>
    </row>
    <row r="339" spans="1:9" ht="15" customHeight="1" x14ac:dyDescent="0.25">
      <c r="A339" s="35">
        <v>262</v>
      </c>
      <c r="B339" s="35" t="str" cm="1">
        <f t="array" ref="B339:B346">RIGHT(_xlfn._xlws.FILTER('AGR_JK_3304_KAB. BANJARNEGARA'!$B$3:$B$300,(LEN('AGR_JK_3304_KAB. BANJARNEGARA'!$B$3:$B$300)=13)*(LEFT('AGR_JK_3304_KAB. BANJARNEGARA'!$B$3:$B$300,8)=MID(A336,13,8))),4)</f>
        <v>2001</v>
      </c>
      <c r="C339" s="36" t="str" cm="1">
        <f t="array" ref="C339:D346">_xlfn._xlws.FILTER('AGR_JK_3304_KAB. BANJARNEGARA'!$C$3:$D$300,(LEN('AGR_JK_3304_KAB. BANJARNEGARA'!$B$3:$B$300)=13)*(LEFT('AGR_JK_3304_KAB. BANJARNEGARA'!$B$3:$B$300,8)=MID(A336,13,8)))</f>
        <v>PANDANARUM</v>
      </c>
      <c r="D339" s="22">
        <v>1575</v>
      </c>
      <c r="E339" s="25" cm="1">
        <f t="array" ref="E339:E346">D339:D346/$H$339:$H$346*100</f>
        <v>50.987374554872119</v>
      </c>
      <c r="F339" s="22" cm="1">
        <f t="array" ref="F339:F346">_xlfn._xlws.FILTER('AGR_JK_3304_KAB. BANJARNEGARA'!$E$3:$E$300,(LEN('AGR_JK_3304_KAB. BANJARNEGARA'!$B$3:$B$300)=13)*(LEFT('AGR_JK_3304_KAB. BANJARNEGARA'!$B$3:$B$300,8)=MID(A336,13,8)))</f>
        <v>1514</v>
      </c>
      <c r="G339" s="25" cm="1">
        <f t="array" ref="G339:G346">F339:F346/$H$339:$H$346*100</f>
        <v>49.012625445127874</v>
      </c>
      <c r="H339" s="26" cm="1">
        <f t="array" ref="H339:H346">_xlfn._xlws.FILTER('AGR_JK_3304_KAB. BANJARNEGARA'!$F$3:$F$300,(LEN('AGR_JK_3304_KAB. BANJARNEGARA'!$B$3:$B$300)=13)*(LEFT('AGR_JK_3304_KAB. BANJARNEGARA'!$B$3:$B$300,8)=MID(A336,13,8)))</f>
        <v>3089</v>
      </c>
      <c r="I339" s="54" cm="1">
        <f t="array" ref="I339:I346">H339:H346/$H$339:$H$346*100</f>
        <v>100</v>
      </c>
    </row>
    <row r="340" spans="1:9" ht="15" customHeight="1" x14ac:dyDescent="0.25">
      <c r="A340" s="35">
        <v>263</v>
      </c>
      <c r="B340" s="35" t="str">
        <v>2002</v>
      </c>
      <c r="C340" s="36" t="str">
        <v>SINDUAJI</v>
      </c>
      <c r="D340" s="43">
        <v>1017</v>
      </c>
      <c r="E340" s="25">
        <v>52.476780185758507</v>
      </c>
      <c r="F340" s="43">
        <v>921</v>
      </c>
      <c r="G340" s="25">
        <v>47.523219814241486</v>
      </c>
      <c r="H340" s="26">
        <v>1938</v>
      </c>
      <c r="I340" s="54">
        <v>100</v>
      </c>
    </row>
    <row r="341" spans="1:9" ht="15" customHeight="1" x14ac:dyDescent="0.25">
      <c r="A341" s="35">
        <v>264</v>
      </c>
      <c r="B341" s="35" t="str">
        <v>2003</v>
      </c>
      <c r="C341" s="36" t="str">
        <v>PASEGERAN</v>
      </c>
      <c r="D341" s="43">
        <v>1556</v>
      </c>
      <c r="E341" s="25">
        <v>51.523178807947026</v>
      </c>
      <c r="F341" s="43">
        <v>1464</v>
      </c>
      <c r="G341" s="25">
        <v>48.476821192052981</v>
      </c>
      <c r="H341" s="26">
        <v>3020</v>
      </c>
      <c r="I341" s="54">
        <v>100</v>
      </c>
    </row>
    <row r="342" spans="1:9" ht="15" customHeight="1" x14ac:dyDescent="0.25">
      <c r="A342" s="35">
        <v>265</v>
      </c>
      <c r="B342" s="35" t="str">
        <v>2004</v>
      </c>
      <c r="C342" s="36" t="str">
        <v>PINGIT LOR</v>
      </c>
      <c r="D342" s="43">
        <v>1183</v>
      </c>
      <c r="E342" s="25">
        <v>50.512382578992309</v>
      </c>
      <c r="F342" s="43">
        <v>1159</v>
      </c>
      <c r="G342" s="25">
        <v>49.487617421007684</v>
      </c>
      <c r="H342" s="26">
        <v>2342</v>
      </c>
      <c r="I342" s="54">
        <v>100</v>
      </c>
    </row>
    <row r="343" spans="1:9" ht="15" customHeight="1" x14ac:dyDescent="0.25">
      <c r="A343" s="35">
        <v>266</v>
      </c>
      <c r="B343" s="35" t="str">
        <v>2005</v>
      </c>
      <c r="C343" s="36" t="str">
        <v>LAWEN</v>
      </c>
      <c r="D343" s="44">
        <v>2462</v>
      </c>
      <c r="E343" s="25">
        <v>51.036484245439475</v>
      </c>
      <c r="F343" s="44">
        <v>2362</v>
      </c>
      <c r="G343" s="25">
        <v>48.963515754560532</v>
      </c>
      <c r="H343" s="26">
        <v>4824</v>
      </c>
      <c r="I343" s="54">
        <v>100</v>
      </c>
    </row>
    <row r="344" spans="1:9" ht="15" customHeight="1" x14ac:dyDescent="0.25">
      <c r="A344" s="35">
        <v>267</v>
      </c>
      <c r="B344" s="35" t="str">
        <v>2006</v>
      </c>
      <c r="C344" s="36" t="str">
        <v>SIRONGGE</v>
      </c>
      <c r="D344" s="43">
        <v>1663</v>
      </c>
      <c r="E344" s="25">
        <v>50.794135613927914</v>
      </c>
      <c r="F344" s="43">
        <v>1611</v>
      </c>
      <c r="G344" s="25">
        <v>49.205864386072086</v>
      </c>
      <c r="H344" s="26">
        <v>3274</v>
      </c>
      <c r="I344" s="54">
        <v>100</v>
      </c>
    </row>
    <row r="345" spans="1:9" ht="15" customHeight="1" x14ac:dyDescent="0.25">
      <c r="A345" s="35">
        <v>268</v>
      </c>
      <c r="B345" s="35" t="str">
        <v>2007</v>
      </c>
      <c r="C345" s="36" t="str">
        <v>PRINGAMBA</v>
      </c>
      <c r="D345" s="44">
        <v>1331</v>
      </c>
      <c r="E345" s="25">
        <v>51.9921875</v>
      </c>
      <c r="F345" s="44">
        <v>1229</v>
      </c>
      <c r="G345" s="25">
        <v>48.0078125</v>
      </c>
      <c r="H345" s="26">
        <v>2560</v>
      </c>
      <c r="I345" s="54">
        <v>100</v>
      </c>
    </row>
    <row r="346" spans="1:9" ht="15" customHeight="1" x14ac:dyDescent="0.25">
      <c r="A346" s="35">
        <v>269</v>
      </c>
      <c r="B346" s="35" t="str">
        <v>2008</v>
      </c>
      <c r="C346" s="36" t="str">
        <v>BEJI</v>
      </c>
      <c r="D346" s="44">
        <v>1436</v>
      </c>
      <c r="E346" s="25">
        <v>51.747747747747752</v>
      </c>
      <c r="F346" s="44">
        <v>1339</v>
      </c>
      <c r="G346" s="25">
        <v>48.252252252252255</v>
      </c>
      <c r="H346" s="26">
        <v>2775</v>
      </c>
      <c r="I346" s="54">
        <v>100</v>
      </c>
    </row>
    <row r="347" spans="1:9" ht="15" customHeight="1" x14ac:dyDescent="0.25">
      <c r="A347" s="78" t="s">
        <v>574</v>
      </c>
      <c r="B347" s="78"/>
      <c r="C347" s="78"/>
      <c r="D347" s="39">
        <f>SUM(D339:D346)</f>
        <v>12223</v>
      </c>
      <c r="E347" s="40">
        <f>D347/$H$347*100</f>
        <v>51.309713710015949</v>
      </c>
      <c r="F347" s="39">
        <f>SUM(F339:F346)</f>
        <v>11599</v>
      </c>
      <c r="G347" s="40">
        <f>F347/$H$347*100</f>
        <v>48.690286289984044</v>
      </c>
      <c r="H347" s="39">
        <f>SUM(H339:H346)</f>
        <v>23822</v>
      </c>
      <c r="I347" s="41">
        <f>H347/$H$347*100</f>
        <v>100</v>
      </c>
    </row>
    <row r="348" spans="1:9" ht="15" customHeight="1" x14ac:dyDescent="0.25">
      <c r="A348" s="80" t="s">
        <v>605</v>
      </c>
      <c r="B348" s="81"/>
      <c r="C348" s="81"/>
      <c r="D348" s="81"/>
      <c r="E348" s="81"/>
      <c r="F348" s="81"/>
      <c r="G348" s="81"/>
      <c r="H348" s="81"/>
      <c r="I348" s="82"/>
    </row>
    <row r="349" spans="1:9" ht="15" customHeight="1" x14ac:dyDescent="0.25">
      <c r="A349" s="83" t="s">
        <v>570</v>
      </c>
      <c r="B349" s="83" t="s">
        <v>585</v>
      </c>
      <c r="C349" s="83"/>
      <c r="D349" s="84" t="s">
        <v>572</v>
      </c>
      <c r="E349" s="84"/>
      <c r="F349" s="84" t="s">
        <v>573</v>
      </c>
      <c r="G349" s="84"/>
      <c r="H349" s="85" t="s">
        <v>574</v>
      </c>
      <c r="I349" s="85"/>
    </row>
    <row r="350" spans="1:9" ht="15" customHeight="1" x14ac:dyDescent="0.25">
      <c r="A350" s="83"/>
      <c r="B350" s="32" t="s">
        <v>575</v>
      </c>
      <c r="C350" s="32" t="s">
        <v>576</v>
      </c>
      <c r="D350" s="33" t="s">
        <v>574</v>
      </c>
      <c r="E350" s="33" t="s">
        <v>577</v>
      </c>
      <c r="F350" s="33" t="s">
        <v>574</v>
      </c>
      <c r="G350" s="33" t="s">
        <v>577</v>
      </c>
      <c r="H350" s="34" t="s">
        <v>586</v>
      </c>
      <c r="I350" s="34" t="s">
        <v>577</v>
      </c>
    </row>
    <row r="351" spans="1:9" ht="15" customHeight="1" x14ac:dyDescent="0.25">
      <c r="A351" s="36">
        <v>270</v>
      </c>
      <c r="B351" s="35" t="str" cm="1">
        <f t="array" ref="B351:B359">RIGHT(_xlfn._xlws.FILTER('AGR_JK_3304_KAB. BANJARNEGARA'!$B$3:$B$300,(LEN('AGR_JK_3304_KAB. BANJARNEGARA'!$B$3:$B$300)=13)*(LEFT('AGR_JK_3304_KAB. BANJARNEGARA'!$B$3:$B$300,8)=MID(A348,13,8))),4)</f>
        <v>2001</v>
      </c>
      <c r="C351" s="36" t="str" cm="1">
        <f t="array" ref="C351:D359">_xlfn._xlws.FILTER('AGR_JK_3304_KAB. BANJARNEGARA'!$C$3:$D$300,(LEN('AGR_JK_3304_KAB. BANJARNEGARA'!$B$3:$B$300)=13)*(LEFT('AGR_JK_3304_KAB. BANJARNEGARA'!$B$3:$B$300,8)=MID(A348,13,8)))</f>
        <v>PAGEDONGAN</v>
      </c>
      <c r="D351" s="22">
        <v>3485</v>
      </c>
      <c r="E351" s="25" cm="1">
        <f t="array" ref="E351:E359">D351:D359/$H$351:$H$359*100</f>
        <v>50.972648822582997</v>
      </c>
      <c r="F351" s="22" cm="1">
        <f t="array" ref="F351:F359">_xlfn._xlws.FILTER('AGR_JK_3304_KAB. BANJARNEGARA'!$E$3:$E$300,(LEN('AGR_JK_3304_KAB. BANJARNEGARA'!$B$3:$B$300)=13)*(LEFT('AGR_JK_3304_KAB. BANJARNEGARA'!$B$3:$B$300,8)=MID(A348,13,8)))</f>
        <v>3352</v>
      </c>
      <c r="G351" s="25" cm="1">
        <f t="array" ref="G351:G359">F351:F359/$H$351:$H$359*100</f>
        <v>49.027351177416996</v>
      </c>
      <c r="H351" s="26" cm="1">
        <f t="array" ref="H351:H359">_xlfn._xlws.FILTER('AGR_JK_3304_KAB. BANJARNEGARA'!$F$3:$F$300,(LEN('AGR_JK_3304_KAB. BANJARNEGARA'!$B$3:$B$300)=13)*(LEFT('AGR_JK_3304_KAB. BANJARNEGARA'!$B$3:$B$300,8)=MID(A348,13,8)))</f>
        <v>6837</v>
      </c>
      <c r="I351" s="54" cm="1">
        <f t="array" ref="I351:I359">H351:H359/$H$351:$H$359*100</f>
        <v>100</v>
      </c>
    </row>
    <row r="352" spans="1:9" ht="15" customHeight="1" x14ac:dyDescent="0.25">
      <c r="A352" s="36">
        <v>271</v>
      </c>
      <c r="B352" s="35" t="str">
        <v>2002</v>
      </c>
      <c r="C352" s="36" t="str">
        <v>GUNUNGJATI</v>
      </c>
      <c r="D352" s="43">
        <v>1746</v>
      </c>
      <c r="E352" s="25">
        <v>51.262477980035236</v>
      </c>
      <c r="F352" s="43">
        <v>1660</v>
      </c>
      <c r="G352" s="25">
        <v>48.737522019964771</v>
      </c>
      <c r="H352" s="26">
        <v>3406</v>
      </c>
      <c r="I352" s="54">
        <v>100</v>
      </c>
    </row>
    <row r="353" spans="1:9" ht="15" customHeight="1" x14ac:dyDescent="0.25">
      <c r="A353" s="36">
        <v>272</v>
      </c>
      <c r="B353" s="35" t="str">
        <v>2003</v>
      </c>
      <c r="C353" s="36" t="str">
        <v>TWELAGIRI</v>
      </c>
      <c r="D353" s="43">
        <v>3001</v>
      </c>
      <c r="E353" s="25">
        <v>51.911434007957105</v>
      </c>
      <c r="F353" s="43">
        <v>2780</v>
      </c>
      <c r="G353" s="25">
        <v>48.088565992042895</v>
      </c>
      <c r="H353" s="26">
        <v>5781</v>
      </c>
      <c r="I353" s="54">
        <v>100</v>
      </c>
    </row>
    <row r="354" spans="1:9" ht="15" customHeight="1" x14ac:dyDescent="0.25">
      <c r="A354" s="36">
        <v>273</v>
      </c>
      <c r="B354" s="35" t="str">
        <v>2004</v>
      </c>
      <c r="C354" s="36" t="str">
        <v>KEBUTUHDUWUR</v>
      </c>
      <c r="D354" s="43">
        <v>3315</v>
      </c>
      <c r="E354" s="25">
        <v>51.467163483931067</v>
      </c>
      <c r="F354" s="43">
        <v>3126</v>
      </c>
      <c r="G354" s="25">
        <v>48.532836516068933</v>
      </c>
      <c r="H354" s="26">
        <v>6441</v>
      </c>
      <c r="I354" s="54">
        <v>100</v>
      </c>
    </row>
    <row r="355" spans="1:9" ht="15" customHeight="1" x14ac:dyDescent="0.25">
      <c r="A355" s="36">
        <v>274</v>
      </c>
      <c r="B355" s="35" t="str">
        <v>2005</v>
      </c>
      <c r="C355" s="36" t="str">
        <v>KEBUTUHJURANG</v>
      </c>
      <c r="D355" s="44">
        <v>2409</v>
      </c>
      <c r="E355" s="25">
        <v>50.534927627438641</v>
      </c>
      <c r="F355" s="44">
        <v>2358</v>
      </c>
      <c r="G355" s="25">
        <v>49.465072372561359</v>
      </c>
      <c r="H355" s="26">
        <v>4767</v>
      </c>
      <c r="I355" s="54">
        <v>100</v>
      </c>
    </row>
    <row r="356" spans="1:9" ht="15" customHeight="1" x14ac:dyDescent="0.25">
      <c r="A356" s="36">
        <v>275</v>
      </c>
      <c r="B356" s="35" t="str">
        <v>2006</v>
      </c>
      <c r="C356" s="36" t="str">
        <v>PESANGKALAN</v>
      </c>
      <c r="D356" s="43">
        <v>1839</v>
      </c>
      <c r="E356" s="25">
        <v>51.469353484466836</v>
      </c>
      <c r="F356" s="43">
        <v>1734</v>
      </c>
      <c r="G356" s="25">
        <v>48.530646515533164</v>
      </c>
      <c r="H356" s="26">
        <v>3573</v>
      </c>
      <c r="I356" s="54">
        <v>100</v>
      </c>
    </row>
    <row r="357" spans="1:9" ht="15" customHeight="1" x14ac:dyDescent="0.25">
      <c r="A357" s="36">
        <v>276</v>
      </c>
      <c r="B357" s="35" t="str">
        <v>2007</v>
      </c>
      <c r="C357" s="36" t="str">
        <v>DUREN</v>
      </c>
      <c r="D357" s="44">
        <v>1593</v>
      </c>
      <c r="E357" s="25">
        <v>51.73757713543359</v>
      </c>
      <c r="F357" s="44">
        <v>1486</v>
      </c>
      <c r="G357" s="25">
        <v>48.262422864566418</v>
      </c>
      <c r="H357" s="26">
        <v>3079</v>
      </c>
      <c r="I357" s="54">
        <v>100</v>
      </c>
    </row>
    <row r="358" spans="1:9" ht="15" customHeight="1" x14ac:dyDescent="0.25">
      <c r="A358" s="36">
        <v>277</v>
      </c>
      <c r="B358" s="35" t="str">
        <v>2008</v>
      </c>
      <c r="C358" s="36" t="str">
        <v>LEBAKWANGI</v>
      </c>
      <c r="D358" s="44">
        <v>2642</v>
      </c>
      <c r="E358" s="25">
        <v>50.632426216941361</v>
      </c>
      <c r="F358" s="44">
        <v>2576</v>
      </c>
      <c r="G358" s="25">
        <v>49.367573783058646</v>
      </c>
      <c r="H358" s="26">
        <v>5218</v>
      </c>
      <c r="I358" s="54">
        <v>100</v>
      </c>
    </row>
    <row r="359" spans="1:9" ht="15" customHeight="1" x14ac:dyDescent="0.25">
      <c r="A359" s="36">
        <v>278</v>
      </c>
      <c r="B359" s="35" t="str">
        <v>2009</v>
      </c>
      <c r="C359" s="36" t="str">
        <v>GENTANSARI</v>
      </c>
      <c r="D359" s="43">
        <v>2969</v>
      </c>
      <c r="E359" s="25">
        <v>50.908779149519887</v>
      </c>
      <c r="F359" s="43">
        <v>2863</v>
      </c>
      <c r="G359" s="25">
        <v>49.091220850480113</v>
      </c>
      <c r="H359" s="26">
        <v>5832</v>
      </c>
      <c r="I359" s="54">
        <v>100</v>
      </c>
    </row>
    <row r="360" spans="1:9" ht="15" customHeight="1" x14ac:dyDescent="0.25">
      <c r="A360" s="78" t="s">
        <v>574</v>
      </c>
      <c r="B360" s="78"/>
      <c r="C360" s="78"/>
      <c r="D360" s="39">
        <f>SUM(D351:D359)</f>
        <v>22999</v>
      </c>
      <c r="E360" s="40">
        <f>D360/$H$360*100</f>
        <v>51.183958694974848</v>
      </c>
      <c r="F360" s="39">
        <f>SUM(F351:F359)</f>
        <v>21935</v>
      </c>
      <c r="G360" s="40">
        <f>F360/$H$360*100</f>
        <v>48.816041305025152</v>
      </c>
      <c r="H360" s="39">
        <f>SUM(H351:H359)</f>
        <v>44934</v>
      </c>
      <c r="I360" s="41">
        <f>H360/$H$360*100</f>
        <v>100</v>
      </c>
    </row>
    <row r="361" spans="1:9" ht="15" customHeight="1" x14ac:dyDescent="0.25">
      <c r="A361" s="79" t="s">
        <v>579</v>
      </c>
      <c r="B361" s="79"/>
      <c r="C361" s="79"/>
      <c r="D361" s="47" cm="1">
        <f t="array" ref="D361">SUM(_xlfn._xlws.FILTER(D3:D360,$A$3:$A$360="Jumlah"))</f>
        <v>545513</v>
      </c>
      <c r="E361" s="40">
        <f>D361/H361*100</f>
        <v>50.888498540547047</v>
      </c>
      <c r="F361" s="47" cm="1">
        <f t="array" ref="F361">SUM(_xlfn._xlws.FILTER(F3:F360,$A$3:$A$360="Jumlah"))</f>
        <v>526464</v>
      </c>
      <c r="G361" s="40">
        <f>F361/H361*100</f>
        <v>49.111501459452953</v>
      </c>
      <c r="H361" s="48" cm="1">
        <f t="array" ref="H361">SUM(_xlfn._xlws.FILTER(H3:H360,$A$3:$A$360="Jumlah"))</f>
        <v>1071977</v>
      </c>
      <c r="I361" s="41">
        <f>(D361+F361)/H361*100</f>
        <v>100</v>
      </c>
    </row>
  </sheetData>
  <sheetProtection algorithmName="SHA-512" hashValue="YLfUSWfvZqMqcH1R+4z/r7kETVCTiRliNtUZpqRnTxyH2Qk7yY41wk1MLZZveSi6Cv2FLbUyVLaMrwm2cb1MnQ==" saltValue="9QD8VZwvGs4mU0I2TagfXg==" spinCount="100000" sheet="1" objects="1" scenarios="1"/>
  <mergeCells count="142">
    <mergeCell ref="A1:I1"/>
    <mergeCell ref="A3:I3"/>
    <mergeCell ref="A4:A5"/>
    <mergeCell ref="B4:C4"/>
    <mergeCell ref="D4:E4"/>
    <mergeCell ref="F4:G4"/>
    <mergeCell ref="H4:I4"/>
    <mergeCell ref="A33:C33"/>
    <mergeCell ref="A34:I34"/>
    <mergeCell ref="A35:A36"/>
    <mergeCell ref="B35:C35"/>
    <mergeCell ref="D35:E35"/>
    <mergeCell ref="F35:G35"/>
    <mergeCell ref="H35:I35"/>
    <mergeCell ref="A21:C21"/>
    <mergeCell ref="A22:I22"/>
    <mergeCell ref="A23:A24"/>
    <mergeCell ref="B23:C23"/>
    <mergeCell ref="D23:E23"/>
    <mergeCell ref="F23:G23"/>
    <mergeCell ref="H23:I23"/>
    <mergeCell ref="A70:C70"/>
    <mergeCell ref="A71:I71"/>
    <mergeCell ref="A72:A73"/>
    <mergeCell ref="B72:C72"/>
    <mergeCell ref="D72:E72"/>
    <mergeCell ref="F72:G72"/>
    <mergeCell ref="H72:I72"/>
    <mergeCell ref="A53:C53"/>
    <mergeCell ref="A54:I54"/>
    <mergeCell ref="A55:A56"/>
    <mergeCell ref="B55:C55"/>
    <mergeCell ref="D55:E55"/>
    <mergeCell ref="F55:G55"/>
    <mergeCell ref="H55:I55"/>
    <mergeCell ref="A109:C109"/>
    <mergeCell ref="A110:I110"/>
    <mergeCell ref="A111:A112"/>
    <mergeCell ref="B111:C111"/>
    <mergeCell ref="D111:E111"/>
    <mergeCell ref="F111:G111"/>
    <mergeCell ref="H111:I111"/>
    <mergeCell ref="A92:C92"/>
    <mergeCell ref="A93:I93"/>
    <mergeCell ref="A94:A95"/>
    <mergeCell ref="B94:C94"/>
    <mergeCell ref="D94:E94"/>
    <mergeCell ref="F94:G94"/>
    <mergeCell ref="H94:I94"/>
    <mergeCell ref="A152:C152"/>
    <mergeCell ref="A153:I153"/>
    <mergeCell ref="A154:A155"/>
    <mergeCell ref="B154:C154"/>
    <mergeCell ref="D154:E154"/>
    <mergeCell ref="F154:G154"/>
    <mergeCell ref="H154:I154"/>
    <mergeCell ref="A128:C128"/>
    <mergeCell ref="A129:I129"/>
    <mergeCell ref="A130:A131"/>
    <mergeCell ref="B130:C130"/>
    <mergeCell ref="D130:E130"/>
    <mergeCell ref="F130:G130"/>
    <mergeCell ref="H130:I130"/>
    <mergeCell ref="A188:C188"/>
    <mergeCell ref="A189:I189"/>
    <mergeCell ref="A190:A191"/>
    <mergeCell ref="B190:C190"/>
    <mergeCell ref="D190:E190"/>
    <mergeCell ref="F190:G190"/>
    <mergeCell ref="H190:I190"/>
    <mergeCell ref="A173:C173"/>
    <mergeCell ref="A174:I174"/>
    <mergeCell ref="A175:A176"/>
    <mergeCell ref="B175:C175"/>
    <mergeCell ref="D175:E175"/>
    <mergeCell ref="F175:G175"/>
    <mergeCell ref="H175:I175"/>
    <mergeCell ref="A224:C224"/>
    <mergeCell ref="A225:I225"/>
    <mergeCell ref="A226:A227"/>
    <mergeCell ref="B226:C226"/>
    <mergeCell ref="D226:E226"/>
    <mergeCell ref="F226:G226"/>
    <mergeCell ref="H226:I226"/>
    <mergeCell ref="A203:C203"/>
    <mergeCell ref="A204:I204"/>
    <mergeCell ref="A205:A206"/>
    <mergeCell ref="B205:C205"/>
    <mergeCell ref="D205:E205"/>
    <mergeCell ref="F205:G205"/>
    <mergeCell ref="H205:I205"/>
    <mergeCell ref="A261:C261"/>
    <mergeCell ref="A262:I262"/>
    <mergeCell ref="A263:A264"/>
    <mergeCell ref="B263:C263"/>
    <mergeCell ref="D263:E263"/>
    <mergeCell ref="F263:G263"/>
    <mergeCell ref="H263:I263"/>
    <mergeCell ref="A241:C241"/>
    <mergeCell ref="A242:I242"/>
    <mergeCell ref="A243:A244"/>
    <mergeCell ref="B243:C243"/>
    <mergeCell ref="D243:E243"/>
    <mergeCell ref="F243:G243"/>
    <mergeCell ref="H243:I243"/>
    <mergeCell ref="A294:C294"/>
    <mergeCell ref="A295:I295"/>
    <mergeCell ref="A296:A297"/>
    <mergeCell ref="B296:C296"/>
    <mergeCell ref="D296:E296"/>
    <mergeCell ref="F296:G296"/>
    <mergeCell ref="H296:I296"/>
    <mergeCell ref="A282:C282"/>
    <mergeCell ref="A283:I283"/>
    <mergeCell ref="A284:A285"/>
    <mergeCell ref="B284:C284"/>
    <mergeCell ref="D284:E284"/>
    <mergeCell ref="F284:G284"/>
    <mergeCell ref="H284:I284"/>
    <mergeCell ref="A335:C335"/>
    <mergeCell ref="A336:I336"/>
    <mergeCell ref="A337:A338"/>
    <mergeCell ref="B337:C337"/>
    <mergeCell ref="D337:E337"/>
    <mergeCell ref="F337:G337"/>
    <mergeCell ref="H337:I337"/>
    <mergeCell ref="A315:C315"/>
    <mergeCell ref="A316:I316"/>
    <mergeCell ref="A317:A318"/>
    <mergeCell ref="B317:C317"/>
    <mergeCell ref="D317:E317"/>
    <mergeCell ref="F317:G317"/>
    <mergeCell ref="H317:I317"/>
    <mergeCell ref="A360:C360"/>
    <mergeCell ref="A361:C361"/>
    <mergeCell ref="A347:C347"/>
    <mergeCell ref="A348:I348"/>
    <mergeCell ref="A349:A350"/>
    <mergeCell ref="B349:C349"/>
    <mergeCell ref="D349:E349"/>
    <mergeCell ref="F349:G349"/>
    <mergeCell ref="H349:I34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AGR_JK_3304_KAB. BANJARNEGARA</vt:lpstr>
      <vt:lpstr>Kab</vt:lpstr>
      <vt:lpstr>Kec</vt:lpstr>
      <vt:lpstr>Desa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WIN-L4A8TH15MKI\U_dahyu</dc:creator>
  <cp:lastModifiedBy>Microsoft Account</cp:lastModifiedBy>
  <dcterms:created xsi:type="dcterms:W3CDTF">2023-07-24T03:45:12Z</dcterms:created>
  <dcterms:modified xsi:type="dcterms:W3CDTF">2025-01-20T07:34:17Z</dcterms:modified>
</cp:coreProperties>
</file>