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ate1904="1"/>
  <mc:AlternateContent xmlns:mc="http://schemas.openxmlformats.org/markup-compatibility/2006">
    <mc:Choice Requires="x15">
      <x15ac:absPath xmlns:x15ac="http://schemas.microsoft.com/office/spreadsheetml/2010/11/ac" url="G:\My Drive\PIAK\DKB\2025\2025_02\2025_02_Data_Kependudukan\"/>
    </mc:Choice>
  </mc:AlternateContent>
  <xr:revisionPtr revIDLastSave="0" documentId="13_ncr:1_{B8E4E5CA-E1BA-4A51-8EBB-C8C55B254ED9}" xr6:coauthVersionLast="47" xr6:coauthVersionMax="47" xr10:uidLastSave="{00000000-0000-0000-0000-000000000000}"/>
  <bookViews>
    <workbookView xWindow="-120" yWindow="-120" windowWidth="29040" windowHeight="14520" xr2:uid="{00000000-000D-0000-FFFF-FFFF00000000}"/>
  </bookViews>
  <sheets>
    <sheet name="AGR_JK_3304_KAB. BANJARNEGARA" sheetId="1" r:id="rId1"/>
    <sheet name="Kab" sheetId="2" r:id="rId2"/>
    <sheet name="Kec" sheetId="3" r:id="rId3"/>
    <sheet name="Des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1" i="4" l="1" a="1"/>
  <c r="H356" i="4" s="1"/>
  <c r="F351" i="4" a="1"/>
  <c r="F356" i="4" s="1"/>
  <c r="D359" i="4"/>
  <c r="D357" i="4"/>
  <c r="D355" i="4"/>
  <c r="D353" i="4"/>
  <c r="D351" i="4"/>
  <c r="C351" i="4" a="1"/>
  <c r="C358" i="4" s="1"/>
  <c r="B358" i="4"/>
  <c r="B357" i="4"/>
  <c r="B354" i="4"/>
  <c r="B353" i="4"/>
  <c r="B351" i="4" a="1"/>
  <c r="B359" i="4" s="1"/>
  <c r="B351" i="4"/>
  <c r="H339" i="4" a="1"/>
  <c r="H343" i="4" s="1"/>
  <c r="F341" i="4"/>
  <c r="F339" i="4" a="1"/>
  <c r="F343" i="4" s="1"/>
  <c r="D346" i="4"/>
  <c r="C345" i="4"/>
  <c r="C344" i="4"/>
  <c r="D342" i="4"/>
  <c r="C341" i="4"/>
  <c r="C340" i="4"/>
  <c r="C339" i="4" a="1"/>
  <c r="C339" i="4"/>
  <c r="B344" i="4"/>
  <c r="B342" i="4"/>
  <c r="B339" i="4" a="1"/>
  <c r="H319" i="4" a="1"/>
  <c r="F334" i="4"/>
  <c r="F333" i="4"/>
  <c r="F332" i="4"/>
  <c r="F330" i="4"/>
  <c r="F329" i="4"/>
  <c r="F328" i="4"/>
  <c r="F326" i="4"/>
  <c r="F325" i="4"/>
  <c r="F324" i="4"/>
  <c r="F322" i="4"/>
  <c r="F321" i="4"/>
  <c r="F320" i="4"/>
  <c r="F319" i="4" a="1"/>
  <c r="F331" i="4" s="1"/>
  <c r="F319" i="4"/>
  <c r="D333" i="4"/>
  <c r="D328" i="4"/>
  <c r="C323" i="4"/>
  <c r="C319" i="4" a="1"/>
  <c r="B333" i="4"/>
  <c r="B332" i="4"/>
  <c r="B331" i="4"/>
  <c r="B328" i="4"/>
  <c r="B327" i="4"/>
  <c r="B325" i="4"/>
  <c r="B323" i="4"/>
  <c r="B321" i="4"/>
  <c r="B320" i="4"/>
  <c r="B319" i="4" a="1"/>
  <c r="H314" i="4"/>
  <c r="H312" i="4"/>
  <c r="H304" i="4"/>
  <c r="H302" i="4"/>
  <c r="H298" i="4" a="1"/>
  <c r="F312" i="4"/>
  <c r="F306" i="4"/>
  <c r="F301" i="4"/>
  <c r="F298" i="4" a="1"/>
  <c r="F313" i="4" s="1"/>
  <c r="C310" i="4"/>
  <c r="D304" i="4"/>
  <c r="D299" i="4"/>
  <c r="C298" i="4" a="1"/>
  <c r="D312" i="4" s="1"/>
  <c r="B313" i="4"/>
  <c r="B312" i="4"/>
  <c r="B311" i="4"/>
  <c r="B309" i="4"/>
  <c r="B308" i="4"/>
  <c r="B307" i="4"/>
  <c r="B305" i="4"/>
  <c r="B304" i="4"/>
  <c r="B303" i="4"/>
  <c r="B301" i="4"/>
  <c r="B300" i="4"/>
  <c r="B299" i="4"/>
  <c r="B298" i="4" a="1"/>
  <c r="B314" i="4" s="1"/>
  <c r="B298" i="4"/>
  <c r="H293" i="4"/>
  <c r="H292" i="4"/>
  <c r="H291" i="4"/>
  <c r="H289" i="4"/>
  <c r="H288" i="4"/>
  <c r="H287" i="4"/>
  <c r="H286" i="4" a="1"/>
  <c r="H290" i="4" s="1"/>
  <c r="H286" i="4"/>
  <c r="H294" i="4" s="1"/>
  <c r="F293" i="4"/>
  <c r="F290" i="4"/>
  <c r="F289" i="4"/>
  <c r="F287" i="4"/>
  <c r="F286" i="4" a="1"/>
  <c r="F286" i="4"/>
  <c r="C286" i="4" a="1"/>
  <c r="B293" i="4"/>
  <c r="B291" i="4"/>
  <c r="B289" i="4"/>
  <c r="B287" i="4"/>
  <c r="B286" i="4" a="1"/>
  <c r="B292" i="4" s="1"/>
  <c r="B286" i="4"/>
  <c r="H280" i="4"/>
  <c r="H279" i="4"/>
  <c r="H278" i="4"/>
  <c r="H276" i="4"/>
  <c r="H275" i="4"/>
  <c r="H274" i="4"/>
  <c r="H272" i="4"/>
  <c r="H271" i="4"/>
  <c r="H270" i="4"/>
  <c r="H268" i="4"/>
  <c r="H267" i="4"/>
  <c r="H266" i="4"/>
  <c r="H265" i="4" a="1"/>
  <c r="H281" i="4" s="1"/>
  <c r="H265" i="4"/>
  <c r="F280" i="4"/>
  <c r="F279" i="4"/>
  <c r="F278" i="4"/>
  <c r="F276" i="4"/>
  <c r="F275" i="4"/>
  <c r="F274" i="4"/>
  <c r="F272" i="4"/>
  <c r="F271" i="4"/>
  <c r="F270" i="4"/>
  <c r="F268" i="4"/>
  <c r="F267" i="4"/>
  <c r="F266" i="4"/>
  <c r="F265" i="4" a="1"/>
  <c r="F281" i="4" s="1"/>
  <c r="F265" i="4"/>
  <c r="C279" i="4"/>
  <c r="D276" i="4"/>
  <c r="C274" i="4"/>
  <c r="C271" i="4"/>
  <c r="D268" i="4"/>
  <c r="C266" i="4"/>
  <c r="C265" i="4" a="1"/>
  <c r="D280" i="4" s="1"/>
  <c r="B279" i="4"/>
  <c r="B274" i="4"/>
  <c r="B269" i="4"/>
  <c r="B265" i="4" a="1"/>
  <c r="H260" i="4"/>
  <c r="H259" i="4"/>
  <c r="H258" i="4"/>
  <c r="H256" i="4"/>
  <c r="H255" i="4"/>
  <c r="H254" i="4"/>
  <c r="H252" i="4"/>
  <c r="H251" i="4"/>
  <c r="H250" i="4"/>
  <c r="H248" i="4"/>
  <c r="H247" i="4"/>
  <c r="H246" i="4"/>
  <c r="H245" i="4" a="1"/>
  <c r="H257" i="4" s="1"/>
  <c r="H245" i="4"/>
  <c r="F253" i="4"/>
  <c r="F245" i="4" a="1"/>
  <c r="F257" i="4" s="1"/>
  <c r="C260" i="4"/>
  <c r="C258" i="4"/>
  <c r="C256" i="4"/>
  <c r="C254" i="4"/>
  <c r="C252" i="4"/>
  <c r="C250" i="4"/>
  <c r="C248" i="4"/>
  <c r="C246" i="4"/>
  <c r="C245" i="4" a="1"/>
  <c r="D259" i="4" s="1"/>
  <c r="B260" i="4"/>
  <c r="B256" i="4"/>
  <c r="B252" i="4"/>
  <c r="B248" i="4"/>
  <c r="B245" i="4" a="1"/>
  <c r="B259" i="4" s="1"/>
  <c r="B245" i="4"/>
  <c r="H238" i="4"/>
  <c r="H237" i="4"/>
  <c r="H234" i="4"/>
  <c r="H233" i="4"/>
  <c r="H230" i="4"/>
  <c r="H229" i="4"/>
  <c r="H228" i="4" a="1"/>
  <c r="H240" i="4" s="1"/>
  <c r="F237" i="4"/>
  <c r="F233" i="4"/>
  <c r="F229" i="4"/>
  <c r="F228" i="4" a="1"/>
  <c r="F240" i="4" s="1"/>
  <c r="D240" i="4"/>
  <c r="C239" i="4"/>
  <c r="D238" i="4"/>
  <c r="C237" i="4"/>
  <c r="D236" i="4"/>
  <c r="C235" i="4"/>
  <c r="D234" i="4"/>
  <c r="C233" i="4"/>
  <c r="D232" i="4"/>
  <c r="C231" i="4"/>
  <c r="D230" i="4"/>
  <c r="C229" i="4"/>
  <c r="D228" i="4"/>
  <c r="C228" i="4" a="1"/>
  <c r="C240" i="4" s="1"/>
  <c r="B239" i="4"/>
  <c r="B234" i="4"/>
  <c r="B230" i="4"/>
  <c r="B228" i="4" a="1"/>
  <c r="B237" i="4" s="1"/>
  <c r="H207" i="4" a="1"/>
  <c r="H222" i="4" s="1"/>
  <c r="F207" i="4" a="1"/>
  <c r="F219" i="4" s="1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C207" i="4" a="1"/>
  <c r="C223" i="4" s="1"/>
  <c r="C207" i="4"/>
  <c r="B222" i="4"/>
  <c r="B220" i="4"/>
  <c r="B218" i="4"/>
  <c r="B216" i="4"/>
  <c r="B214" i="4"/>
  <c r="B212" i="4"/>
  <c r="B210" i="4"/>
  <c r="B208" i="4"/>
  <c r="B207" i="4" a="1"/>
  <c r="B221" i="4" s="1"/>
  <c r="B207" i="4"/>
  <c r="H201" i="4"/>
  <c r="H199" i="4"/>
  <c r="H197" i="4"/>
  <c r="H195" i="4"/>
  <c r="H193" i="4"/>
  <c r="H192" i="4" a="1"/>
  <c r="H200" i="4" s="1"/>
  <c r="H192" i="4"/>
  <c r="F201" i="4"/>
  <c r="F197" i="4"/>
  <c r="F193" i="4"/>
  <c r="F192" i="4" a="1"/>
  <c r="F200" i="4" s="1"/>
  <c r="C192" i="4" a="1"/>
  <c r="C198" i="4" s="1"/>
  <c r="B192" i="4" a="1"/>
  <c r="B200" i="4" s="1"/>
  <c r="H187" i="4"/>
  <c r="H183" i="4"/>
  <c r="H179" i="4"/>
  <c r="H177" i="4" a="1"/>
  <c r="H186" i="4" s="1"/>
  <c r="F187" i="4"/>
  <c r="F183" i="4"/>
  <c r="F179" i="4"/>
  <c r="F177" i="4" a="1"/>
  <c r="F186" i="4" s="1"/>
  <c r="D187" i="4"/>
  <c r="D186" i="4"/>
  <c r="D185" i="4"/>
  <c r="D184" i="4"/>
  <c r="D183" i="4"/>
  <c r="D182" i="4"/>
  <c r="D181" i="4"/>
  <c r="D180" i="4"/>
  <c r="D179" i="4"/>
  <c r="D178" i="4"/>
  <c r="D177" i="4"/>
  <c r="C177" i="4" a="1"/>
  <c r="C187" i="4" s="1"/>
  <c r="C177" i="4"/>
  <c r="B186" i="4"/>
  <c r="B184" i="4"/>
  <c r="B182" i="4"/>
  <c r="B180" i="4"/>
  <c r="B178" i="4"/>
  <c r="B177" i="4" a="1"/>
  <c r="B185" i="4" s="1"/>
  <c r="B177" i="4"/>
  <c r="H171" i="4"/>
  <c r="H170" i="4"/>
  <c r="H169" i="4"/>
  <c r="H167" i="4"/>
  <c r="H166" i="4"/>
  <c r="H165" i="4"/>
  <c r="H163" i="4"/>
  <c r="H162" i="4"/>
  <c r="H161" i="4"/>
  <c r="H159" i="4"/>
  <c r="H158" i="4"/>
  <c r="H157" i="4"/>
  <c r="H156" i="4" a="1"/>
  <c r="H172" i="4" s="1"/>
  <c r="H156" i="4"/>
  <c r="F171" i="4"/>
  <c r="F170" i="4"/>
  <c r="F169" i="4"/>
  <c r="F167" i="4"/>
  <c r="F166" i="4"/>
  <c r="F165" i="4"/>
  <c r="F163" i="4"/>
  <c r="F162" i="4"/>
  <c r="F161" i="4"/>
  <c r="F159" i="4"/>
  <c r="F158" i="4"/>
  <c r="F157" i="4"/>
  <c r="F156" i="4" a="1"/>
  <c r="F172" i="4" s="1"/>
  <c r="F156" i="4"/>
  <c r="D171" i="4"/>
  <c r="C169" i="4"/>
  <c r="C166" i="4"/>
  <c r="D163" i="4"/>
  <c r="C161" i="4"/>
  <c r="C158" i="4"/>
  <c r="C156" i="4" a="1"/>
  <c r="C171" i="4" s="1"/>
  <c r="C156" i="4"/>
  <c r="B169" i="4"/>
  <c r="B168" i="4"/>
  <c r="B164" i="4"/>
  <c r="B162" i="4"/>
  <c r="B158" i="4"/>
  <c r="B157" i="4"/>
  <c r="B156" i="4" a="1"/>
  <c r="B170" i="4" s="1"/>
  <c r="H132" i="4" a="1"/>
  <c r="H146" i="4" s="1"/>
  <c r="F132" i="4" a="1"/>
  <c r="F147" i="4" s="1"/>
  <c r="C132" i="4" a="1"/>
  <c r="C151" i="4" s="1"/>
  <c r="B151" i="4"/>
  <c r="B150" i="4"/>
  <c r="B149" i="4"/>
  <c r="B147" i="4"/>
  <c r="B146" i="4"/>
  <c r="B145" i="4"/>
  <c r="B143" i="4"/>
  <c r="B142" i="4"/>
  <c r="B141" i="4"/>
  <c r="B139" i="4"/>
  <c r="B138" i="4"/>
  <c r="B137" i="4"/>
  <c r="B135" i="4"/>
  <c r="B134" i="4"/>
  <c r="B133" i="4"/>
  <c r="B132" i="4" a="1"/>
  <c r="B148" i="4" s="1"/>
  <c r="B132" i="4"/>
  <c r="H113" i="4" a="1"/>
  <c r="H126" i="4" s="1"/>
  <c r="F113" i="4" a="1"/>
  <c r="F126" i="4" s="1"/>
  <c r="D126" i="4"/>
  <c r="C126" i="4"/>
  <c r="D124" i="4"/>
  <c r="C124" i="4"/>
  <c r="D122" i="4"/>
  <c r="C122" i="4"/>
  <c r="D120" i="4"/>
  <c r="C120" i="4"/>
  <c r="D118" i="4"/>
  <c r="C118" i="4"/>
  <c r="D116" i="4"/>
  <c r="C116" i="4"/>
  <c r="D114" i="4"/>
  <c r="C114" i="4"/>
  <c r="C113" i="4" a="1"/>
  <c r="C127" i="4" s="1"/>
  <c r="C113" i="4"/>
  <c r="B124" i="4"/>
  <c r="B120" i="4"/>
  <c r="B116" i="4"/>
  <c r="B113" i="4" a="1"/>
  <c r="B125" i="4" s="1"/>
  <c r="B113" i="4"/>
  <c r="H105" i="4"/>
  <c r="H101" i="4"/>
  <c r="H97" i="4"/>
  <c r="H96" i="4" a="1"/>
  <c r="H106" i="4" s="1"/>
  <c r="F105" i="4"/>
  <c r="F101" i="4"/>
  <c r="F97" i="4"/>
  <c r="F96" i="4" a="1"/>
  <c r="F106" i="4" s="1"/>
  <c r="D108" i="4"/>
  <c r="D107" i="4"/>
  <c r="C107" i="4"/>
  <c r="D106" i="4"/>
  <c r="D105" i="4"/>
  <c r="C105" i="4"/>
  <c r="D104" i="4"/>
  <c r="D103" i="4"/>
  <c r="C103" i="4"/>
  <c r="D102" i="4"/>
  <c r="D101" i="4"/>
  <c r="C101" i="4"/>
  <c r="D100" i="4"/>
  <c r="D99" i="4"/>
  <c r="C99" i="4"/>
  <c r="D98" i="4"/>
  <c r="D97" i="4"/>
  <c r="C97" i="4"/>
  <c r="D96" i="4"/>
  <c r="C96" i="4" a="1"/>
  <c r="C108" i="4" s="1"/>
  <c r="C96" i="4"/>
  <c r="B96" i="4" a="1"/>
  <c r="B103" i="4" s="1"/>
  <c r="H74" i="4" a="1"/>
  <c r="F91" i="4"/>
  <c r="F89" i="4"/>
  <c r="F88" i="4"/>
  <c r="F87" i="4"/>
  <c r="F85" i="4"/>
  <c r="F84" i="4"/>
  <c r="F83" i="4"/>
  <c r="F81" i="4"/>
  <c r="F80" i="4"/>
  <c r="F79" i="4"/>
  <c r="F77" i="4"/>
  <c r="F76" i="4"/>
  <c r="F75" i="4"/>
  <c r="F74" i="4" a="1"/>
  <c r="F90" i="4" s="1"/>
  <c r="F74" i="4"/>
  <c r="C91" i="4"/>
  <c r="D90" i="4"/>
  <c r="C89" i="4"/>
  <c r="D88" i="4"/>
  <c r="C87" i="4"/>
  <c r="D86" i="4"/>
  <c r="C85" i="4"/>
  <c r="D84" i="4"/>
  <c r="C83" i="4"/>
  <c r="D82" i="4"/>
  <c r="C81" i="4"/>
  <c r="D80" i="4"/>
  <c r="C79" i="4"/>
  <c r="D78" i="4"/>
  <c r="C77" i="4"/>
  <c r="D76" i="4"/>
  <c r="C75" i="4"/>
  <c r="D74" i="4"/>
  <c r="C74" i="4" a="1"/>
  <c r="D91" i="4" s="1"/>
  <c r="B74" i="4" a="1"/>
  <c r="H68" i="4"/>
  <c r="H67" i="4"/>
  <c r="H66" i="4"/>
  <c r="H64" i="4"/>
  <c r="H63" i="4"/>
  <c r="H62" i="4"/>
  <c r="H60" i="4"/>
  <c r="H59" i="4"/>
  <c r="H58" i="4"/>
  <c r="H57" i="4" a="1"/>
  <c r="H69" i="4" s="1"/>
  <c r="H57" i="4"/>
  <c r="F67" i="4"/>
  <c r="F63" i="4"/>
  <c r="F59" i="4"/>
  <c r="F57" i="4" a="1"/>
  <c r="F66" i="4" s="1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70" i="4" s="1"/>
  <c r="C57" i="4" a="1"/>
  <c r="C68" i="4" s="1"/>
  <c r="C57" i="4"/>
  <c r="B68" i="4"/>
  <c r="B67" i="4"/>
  <c r="B66" i="4"/>
  <c r="B64" i="4"/>
  <c r="B63" i="4"/>
  <c r="B62" i="4"/>
  <c r="B60" i="4"/>
  <c r="B59" i="4"/>
  <c r="B58" i="4"/>
  <c r="B57" i="4" a="1"/>
  <c r="B69" i="4" s="1"/>
  <c r="B57" i="4"/>
  <c r="H52" i="4"/>
  <c r="H50" i="4"/>
  <c r="H48" i="4"/>
  <c r="H46" i="4"/>
  <c r="H44" i="4"/>
  <c r="H42" i="4"/>
  <c r="H40" i="4"/>
  <c r="H38" i="4"/>
  <c r="H37" i="4" a="1"/>
  <c r="H49" i="4" s="1"/>
  <c r="H37" i="4"/>
  <c r="F52" i="4"/>
  <c r="F48" i="4"/>
  <c r="F44" i="4"/>
  <c r="F40" i="4"/>
  <c r="F37" i="4" a="1"/>
  <c r="F51" i="4" s="1"/>
  <c r="F37" i="4"/>
  <c r="D51" i="4"/>
  <c r="D49" i="4"/>
  <c r="D47" i="4"/>
  <c r="D45" i="4"/>
  <c r="D43" i="4"/>
  <c r="D41" i="4"/>
  <c r="D39" i="4"/>
  <c r="D37" i="4"/>
  <c r="C37" i="4" a="1"/>
  <c r="C51" i="4" s="1"/>
  <c r="B37" i="4" a="1"/>
  <c r="B50" i="4" s="1"/>
  <c r="H25" i="4" a="1"/>
  <c r="H30" i="4" s="1"/>
  <c r="F31" i="4"/>
  <c r="F27" i="4"/>
  <c r="F25" i="4" a="1"/>
  <c r="F32" i="4" s="1"/>
  <c r="C25" i="4" a="1"/>
  <c r="D31" i="4" s="1"/>
  <c r="B32" i="4"/>
  <c r="B30" i="4"/>
  <c r="B28" i="4"/>
  <c r="B26" i="4"/>
  <c r="B25" i="4" a="1"/>
  <c r="B31" i="4" s="1"/>
  <c r="B25" i="4"/>
  <c r="H19" i="4"/>
  <c r="H17" i="4"/>
  <c r="H15" i="4"/>
  <c r="H13" i="4"/>
  <c r="H11" i="4"/>
  <c r="H9" i="4"/>
  <c r="H7" i="4"/>
  <c r="H6" i="4" a="1"/>
  <c r="H18" i="4" s="1"/>
  <c r="H6" i="4"/>
  <c r="F17" i="4"/>
  <c r="F13" i="4"/>
  <c r="F9" i="4"/>
  <c r="F6" i="4" a="1"/>
  <c r="F18" i="4" s="1"/>
  <c r="F6" i="4"/>
  <c r="C19" i="4"/>
  <c r="C17" i="4"/>
  <c r="C15" i="4"/>
  <c r="C13" i="4"/>
  <c r="C11" i="4"/>
  <c r="C9" i="4"/>
  <c r="C7" i="4"/>
  <c r="C6" i="4" a="1"/>
  <c r="D19" i="4" s="1"/>
  <c r="B20" i="4"/>
  <c r="B16" i="4"/>
  <c r="B12" i="4"/>
  <c r="B8" i="4"/>
  <c r="B6" i="4" a="1"/>
  <c r="B17" i="4" s="1"/>
  <c r="H24" i="3"/>
  <c r="H20" i="3"/>
  <c r="H16" i="3"/>
  <c r="H12" i="3"/>
  <c r="H8" i="3"/>
  <c r="H6" i="3" a="1"/>
  <c r="H25" i="3" s="1"/>
  <c r="F24" i="3"/>
  <c r="F18" i="3"/>
  <c r="F16" i="3"/>
  <c r="F10" i="3"/>
  <c r="F8" i="3"/>
  <c r="F6" i="3" a="1"/>
  <c r="F20" i="3" s="1"/>
  <c r="B6" i="3" a="1"/>
  <c r="B10" i="3" s="1"/>
  <c r="F6" i="2"/>
  <c r="F5" i="2"/>
  <c r="D5" i="2"/>
  <c r="D6" i="2" s="1"/>
  <c r="D25" i="3" l="1"/>
  <c r="C24" i="3"/>
  <c r="B23" i="3"/>
  <c r="D21" i="3"/>
  <c r="C20" i="3"/>
  <c r="B19" i="3"/>
  <c r="D17" i="3"/>
  <c r="C16" i="3"/>
  <c r="B15" i="3"/>
  <c r="D13" i="3"/>
  <c r="C12" i="3"/>
  <c r="B11" i="3"/>
  <c r="D9" i="3"/>
  <c r="C8" i="3"/>
  <c r="B7" i="3"/>
  <c r="B25" i="3"/>
  <c r="D23" i="3"/>
  <c r="C22" i="3"/>
  <c r="B21" i="3"/>
  <c r="D19" i="3"/>
  <c r="C18" i="3"/>
  <c r="B17" i="3"/>
  <c r="D15" i="3"/>
  <c r="C14" i="3"/>
  <c r="B13" i="3"/>
  <c r="D11" i="3"/>
  <c r="C10" i="3"/>
  <c r="B9" i="3"/>
  <c r="D7" i="3"/>
  <c r="C6" i="3"/>
  <c r="D8" i="3"/>
  <c r="C11" i="3"/>
  <c r="B14" i="3"/>
  <c r="D16" i="3"/>
  <c r="C19" i="3"/>
  <c r="B22" i="3"/>
  <c r="D24" i="3"/>
  <c r="F12" i="3"/>
  <c r="C7" i="3"/>
  <c r="D12" i="3"/>
  <c r="C15" i="3"/>
  <c r="B18" i="3"/>
  <c r="D20" i="3"/>
  <c r="C23" i="3"/>
  <c r="B6" i="3"/>
  <c r="B8" i="3"/>
  <c r="D10" i="3"/>
  <c r="C13" i="3"/>
  <c r="B16" i="3"/>
  <c r="D18" i="3"/>
  <c r="C21" i="3"/>
  <c r="B24" i="3"/>
  <c r="H5" i="2"/>
  <c r="D6" i="3"/>
  <c r="C9" i="3"/>
  <c r="B12" i="3"/>
  <c r="D14" i="3"/>
  <c r="C17" i="3"/>
  <c r="B20" i="3"/>
  <c r="D22" i="3"/>
  <c r="C25" i="3"/>
  <c r="F23" i="3"/>
  <c r="F19" i="3"/>
  <c r="F15" i="3"/>
  <c r="F11" i="3"/>
  <c r="F7" i="3"/>
  <c r="F25" i="3"/>
  <c r="F21" i="3"/>
  <c r="F17" i="3"/>
  <c r="F13" i="3"/>
  <c r="F9" i="3"/>
  <c r="F6" i="3"/>
  <c r="F14" i="3"/>
  <c r="F22" i="3"/>
  <c r="H10" i="3"/>
  <c r="H14" i="3"/>
  <c r="H18" i="3"/>
  <c r="H22" i="3"/>
  <c r="C8" i="4"/>
  <c r="C10" i="4"/>
  <c r="C12" i="4"/>
  <c r="C14" i="4"/>
  <c r="C16" i="4"/>
  <c r="C18" i="4"/>
  <c r="C20" i="4"/>
  <c r="F7" i="4"/>
  <c r="G6" i="4" s="1" a="1"/>
  <c r="F11" i="4"/>
  <c r="F15" i="4"/>
  <c r="F19" i="4"/>
  <c r="C26" i="4"/>
  <c r="C28" i="4"/>
  <c r="C30" i="4"/>
  <c r="C32" i="4"/>
  <c r="F29" i="4"/>
  <c r="H27" i="4"/>
  <c r="H31" i="4"/>
  <c r="B39" i="4"/>
  <c r="B43" i="4"/>
  <c r="B47" i="4"/>
  <c r="B51" i="4"/>
  <c r="B88" i="4"/>
  <c r="B84" i="4"/>
  <c r="B80" i="4"/>
  <c r="B76" i="4"/>
  <c r="B89" i="4"/>
  <c r="B85" i="4"/>
  <c r="B81" i="4"/>
  <c r="B77" i="4"/>
  <c r="B74" i="4"/>
  <c r="B82" i="4"/>
  <c r="B90" i="4"/>
  <c r="H91" i="4"/>
  <c r="H87" i="4"/>
  <c r="H83" i="4"/>
  <c r="H79" i="4"/>
  <c r="H75" i="4"/>
  <c r="H88" i="4"/>
  <c r="H84" i="4"/>
  <c r="H80" i="4"/>
  <c r="H76" i="4"/>
  <c r="H82" i="4"/>
  <c r="H90" i="4"/>
  <c r="B100" i="4"/>
  <c r="B108" i="4"/>
  <c r="B10" i="4"/>
  <c r="B14" i="4"/>
  <c r="B18" i="4"/>
  <c r="H7" i="3"/>
  <c r="H11" i="3"/>
  <c r="H15" i="3"/>
  <c r="H19" i="3"/>
  <c r="H23" i="3"/>
  <c r="B7" i="4"/>
  <c r="B11" i="4"/>
  <c r="B15" i="4"/>
  <c r="B19" i="4"/>
  <c r="D6" i="4"/>
  <c r="D8" i="4"/>
  <c r="D10" i="4"/>
  <c r="D12" i="4"/>
  <c r="D14" i="4"/>
  <c r="D16" i="4"/>
  <c r="D18" i="4"/>
  <c r="D20" i="4"/>
  <c r="F8" i="4"/>
  <c r="F12" i="4"/>
  <c r="F16" i="4"/>
  <c r="F20" i="4"/>
  <c r="H8" i="4"/>
  <c r="H12" i="4"/>
  <c r="H16" i="4"/>
  <c r="H20" i="4"/>
  <c r="B29" i="4"/>
  <c r="C25" i="4"/>
  <c r="D26" i="4"/>
  <c r="D28" i="4"/>
  <c r="D30" i="4"/>
  <c r="D32" i="4"/>
  <c r="F26" i="4"/>
  <c r="F30" i="4"/>
  <c r="H25" i="4"/>
  <c r="H28" i="4"/>
  <c r="H32" i="4"/>
  <c r="B37" i="4"/>
  <c r="B40" i="4"/>
  <c r="B44" i="4"/>
  <c r="B48" i="4"/>
  <c r="B52" i="4"/>
  <c r="C38" i="4"/>
  <c r="C40" i="4"/>
  <c r="C42" i="4"/>
  <c r="C44" i="4"/>
  <c r="C46" i="4"/>
  <c r="C48" i="4"/>
  <c r="C50" i="4"/>
  <c r="C52" i="4"/>
  <c r="F41" i="4"/>
  <c r="F45" i="4"/>
  <c r="F49" i="4"/>
  <c r="H39" i="4"/>
  <c r="H43" i="4"/>
  <c r="H47" i="4"/>
  <c r="H53" i="4" s="1"/>
  <c r="I53" i="4" s="1"/>
  <c r="H51" i="4"/>
  <c r="C59" i="4"/>
  <c r="C61" i="4"/>
  <c r="C63" i="4"/>
  <c r="C65" i="4"/>
  <c r="C67" i="4"/>
  <c r="C69" i="4"/>
  <c r="F57" i="4"/>
  <c r="F60" i="4"/>
  <c r="F64" i="4"/>
  <c r="F68" i="4"/>
  <c r="I57" i="4" a="1"/>
  <c r="B75" i="4"/>
  <c r="B83" i="4"/>
  <c r="B91" i="4"/>
  <c r="H77" i="4"/>
  <c r="H85" i="4"/>
  <c r="B96" i="4"/>
  <c r="C27" i="4"/>
  <c r="C29" i="4"/>
  <c r="C31" i="4"/>
  <c r="H29" i="4"/>
  <c r="B41" i="4"/>
  <c r="B45" i="4"/>
  <c r="B49" i="4"/>
  <c r="C37" i="4"/>
  <c r="D38" i="4"/>
  <c r="E37" i="4" s="1" a="1"/>
  <c r="D40" i="4"/>
  <c r="D42" i="4"/>
  <c r="D44" i="4"/>
  <c r="D46" i="4"/>
  <c r="D48" i="4"/>
  <c r="D50" i="4"/>
  <c r="D52" i="4"/>
  <c r="F38" i="4"/>
  <c r="F53" i="4" s="1"/>
  <c r="F42" i="4"/>
  <c r="G37" i="4" s="1" a="1"/>
  <c r="F46" i="4"/>
  <c r="F50" i="4"/>
  <c r="F61" i="4"/>
  <c r="F65" i="4"/>
  <c r="F69" i="4"/>
  <c r="B78" i="4"/>
  <c r="B86" i="4"/>
  <c r="H78" i="4"/>
  <c r="H86" i="4"/>
  <c r="B105" i="4"/>
  <c r="B101" i="4"/>
  <c r="B97" i="4"/>
  <c r="B106" i="4"/>
  <c r="B102" i="4"/>
  <c r="B98" i="4"/>
  <c r="B104" i="4"/>
  <c r="H6" i="3"/>
  <c r="H9" i="3"/>
  <c r="H13" i="3"/>
  <c r="H17" i="3"/>
  <c r="H21" i="3"/>
  <c r="B6" i="4"/>
  <c r="B9" i="4"/>
  <c r="B13" i="4"/>
  <c r="C6" i="4"/>
  <c r="D7" i="4"/>
  <c r="D9" i="4"/>
  <c r="D11" i="4"/>
  <c r="D13" i="4"/>
  <c r="D15" i="4"/>
  <c r="D17" i="4"/>
  <c r="F10" i="4"/>
  <c r="F14" i="4"/>
  <c r="H10" i="4"/>
  <c r="H14" i="4"/>
  <c r="B27" i="4"/>
  <c r="D25" i="4"/>
  <c r="D27" i="4"/>
  <c r="D29" i="4"/>
  <c r="F25" i="4"/>
  <c r="F28" i="4"/>
  <c r="H26" i="4"/>
  <c r="B38" i="4"/>
  <c r="B42" i="4"/>
  <c r="B46" i="4"/>
  <c r="C39" i="4"/>
  <c r="C41" i="4"/>
  <c r="C43" i="4"/>
  <c r="C45" i="4"/>
  <c r="C47" i="4"/>
  <c r="C49" i="4"/>
  <c r="F39" i="4"/>
  <c r="F43" i="4"/>
  <c r="F47" i="4"/>
  <c r="H41" i="4"/>
  <c r="H45" i="4"/>
  <c r="B61" i="4"/>
  <c r="B65" i="4"/>
  <c r="C58" i="4"/>
  <c r="C60" i="4"/>
  <c r="C62" i="4"/>
  <c r="C64" i="4"/>
  <c r="C66" i="4"/>
  <c r="F58" i="4"/>
  <c r="F62" i="4"/>
  <c r="B79" i="4"/>
  <c r="B87" i="4"/>
  <c r="H74" i="4"/>
  <c r="H81" i="4"/>
  <c r="H89" i="4"/>
  <c r="B99" i="4"/>
  <c r="B107" i="4"/>
  <c r="D109" i="4"/>
  <c r="C76" i="4"/>
  <c r="C78" i="4"/>
  <c r="C80" i="4"/>
  <c r="C82" i="4"/>
  <c r="C84" i="4"/>
  <c r="C86" i="4"/>
  <c r="C88" i="4"/>
  <c r="C90" i="4"/>
  <c r="F78" i="4"/>
  <c r="F92" i="4" s="1"/>
  <c r="F82" i="4"/>
  <c r="F86" i="4"/>
  <c r="C98" i="4"/>
  <c r="C100" i="4"/>
  <c r="C102" i="4"/>
  <c r="C104" i="4"/>
  <c r="C106" i="4"/>
  <c r="F96" i="4"/>
  <c r="F99" i="4"/>
  <c r="F103" i="4"/>
  <c r="F107" i="4"/>
  <c r="H96" i="4"/>
  <c r="H99" i="4"/>
  <c r="H103" i="4"/>
  <c r="H107" i="4"/>
  <c r="B114" i="4"/>
  <c r="B118" i="4"/>
  <c r="B122" i="4"/>
  <c r="B126" i="4"/>
  <c r="D113" i="4"/>
  <c r="D115" i="4"/>
  <c r="D117" i="4"/>
  <c r="D119" i="4"/>
  <c r="D121" i="4"/>
  <c r="D123" i="4"/>
  <c r="D125" i="4"/>
  <c r="D127" i="4"/>
  <c r="F115" i="4"/>
  <c r="F119" i="4"/>
  <c r="F123" i="4"/>
  <c r="F127" i="4"/>
  <c r="H115" i="4"/>
  <c r="H119" i="4"/>
  <c r="H123" i="4"/>
  <c r="H127" i="4"/>
  <c r="B136" i="4"/>
  <c r="B140" i="4"/>
  <c r="B144" i="4"/>
  <c r="C132" i="4"/>
  <c r="D133" i="4"/>
  <c r="D135" i="4"/>
  <c r="D137" i="4"/>
  <c r="D139" i="4"/>
  <c r="D141" i="4"/>
  <c r="D143" i="4"/>
  <c r="D145" i="4"/>
  <c r="D147" i="4"/>
  <c r="D149" i="4"/>
  <c r="D151" i="4"/>
  <c r="F135" i="4"/>
  <c r="F140" i="4"/>
  <c r="F146" i="4"/>
  <c r="F151" i="4"/>
  <c r="H136" i="4"/>
  <c r="H141" i="4"/>
  <c r="B160" i="4"/>
  <c r="B165" i="4"/>
  <c r="C157" i="4"/>
  <c r="D159" i="4"/>
  <c r="C162" i="4"/>
  <c r="C165" i="4"/>
  <c r="D167" i="4"/>
  <c r="C170" i="4"/>
  <c r="B196" i="4"/>
  <c r="C196" i="4"/>
  <c r="F215" i="4"/>
  <c r="F100" i="4"/>
  <c r="F104" i="4"/>
  <c r="F108" i="4"/>
  <c r="H100" i="4"/>
  <c r="H104" i="4"/>
  <c r="H108" i="4"/>
  <c r="B115" i="4"/>
  <c r="B119" i="4"/>
  <c r="B123" i="4"/>
  <c r="B127" i="4"/>
  <c r="F113" i="4"/>
  <c r="F116" i="4"/>
  <c r="F120" i="4"/>
  <c r="F124" i="4"/>
  <c r="H113" i="4"/>
  <c r="H116" i="4"/>
  <c r="H120" i="4"/>
  <c r="H124" i="4"/>
  <c r="C134" i="4"/>
  <c r="C136" i="4"/>
  <c r="C138" i="4"/>
  <c r="C140" i="4"/>
  <c r="C142" i="4"/>
  <c r="C144" i="4"/>
  <c r="C146" i="4"/>
  <c r="C148" i="4"/>
  <c r="C150" i="4"/>
  <c r="F132" i="4"/>
  <c r="F136" i="4"/>
  <c r="F142" i="4"/>
  <c r="H151" i="4"/>
  <c r="H147" i="4"/>
  <c r="H143" i="4"/>
  <c r="H139" i="4"/>
  <c r="H135" i="4"/>
  <c r="H132" i="4"/>
  <c r="H137" i="4"/>
  <c r="H142" i="4"/>
  <c r="H148" i="4"/>
  <c r="B171" i="4"/>
  <c r="B167" i="4"/>
  <c r="B163" i="4"/>
  <c r="B159" i="4"/>
  <c r="B156" i="4"/>
  <c r="B161" i="4"/>
  <c r="B166" i="4"/>
  <c r="B172" i="4"/>
  <c r="D157" i="4"/>
  <c r="C160" i="4"/>
  <c r="C163" i="4"/>
  <c r="D165" i="4"/>
  <c r="C168" i="4"/>
  <c r="D224" i="4"/>
  <c r="F117" i="4"/>
  <c r="F121" i="4"/>
  <c r="F125" i="4"/>
  <c r="H117" i="4"/>
  <c r="H121" i="4"/>
  <c r="H125" i="4"/>
  <c r="D132" i="4"/>
  <c r="D134" i="4"/>
  <c r="D136" i="4"/>
  <c r="D138" i="4"/>
  <c r="D140" i="4"/>
  <c r="D142" i="4"/>
  <c r="D144" i="4"/>
  <c r="D146" i="4"/>
  <c r="D148" i="4"/>
  <c r="D150" i="4"/>
  <c r="F149" i="4"/>
  <c r="F145" i="4"/>
  <c r="F141" i="4"/>
  <c r="F137" i="4"/>
  <c r="F133" i="4"/>
  <c r="F138" i="4"/>
  <c r="F143" i="4"/>
  <c r="F148" i="4"/>
  <c r="H133" i="4"/>
  <c r="H138" i="4"/>
  <c r="H144" i="4"/>
  <c r="H149" i="4"/>
  <c r="D201" i="4"/>
  <c r="D199" i="4"/>
  <c r="D197" i="4"/>
  <c r="D195" i="4"/>
  <c r="D193" i="4"/>
  <c r="C192" i="4"/>
  <c r="C201" i="4"/>
  <c r="C199" i="4"/>
  <c r="C197" i="4"/>
  <c r="C195" i="4"/>
  <c r="C193" i="4"/>
  <c r="D202" i="4"/>
  <c r="D200" i="4"/>
  <c r="D198" i="4"/>
  <c r="D196" i="4"/>
  <c r="D194" i="4"/>
  <c r="D192" i="4"/>
  <c r="C200" i="4"/>
  <c r="F222" i="4"/>
  <c r="F218" i="4"/>
  <c r="F214" i="4"/>
  <c r="F210" i="4"/>
  <c r="F207" i="4"/>
  <c r="F221" i="4"/>
  <c r="F217" i="4"/>
  <c r="F213" i="4"/>
  <c r="F209" i="4"/>
  <c r="F220" i="4"/>
  <c r="F216" i="4"/>
  <c r="F212" i="4"/>
  <c r="F208" i="4"/>
  <c r="F223" i="4"/>
  <c r="H61" i="4"/>
  <c r="E57" i="4" s="1" a="1"/>
  <c r="H65" i="4"/>
  <c r="C74" i="4"/>
  <c r="D75" i="4"/>
  <c r="D77" i="4"/>
  <c r="D92" i="4" s="1"/>
  <c r="D79" i="4"/>
  <c r="D81" i="4"/>
  <c r="D83" i="4"/>
  <c r="D85" i="4"/>
  <c r="D87" i="4"/>
  <c r="D89" i="4"/>
  <c r="F98" i="4"/>
  <c r="F102" i="4"/>
  <c r="H98" i="4"/>
  <c r="H102" i="4"/>
  <c r="B117" i="4"/>
  <c r="B121" i="4"/>
  <c r="C115" i="4"/>
  <c r="C117" i="4"/>
  <c r="C119" i="4"/>
  <c r="C121" i="4"/>
  <c r="C123" i="4"/>
  <c r="C125" i="4"/>
  <c r="F114" i="4"/>
  <c r="F118" i="4"/>
  <c r="F122" i="4"/>
  <c r="H114" i="4"/>
  <c r="H118" i="4"/>
  <c r="H122" i="4"/>
  <c r="C133" i="4"/>
  <c r="C135" i="4"/>
  <c r="C137" i="4"/>
  <c r="C139" i="4"/>
  <c r="C141" i="4"/>
  <c r="C143" i="4"/>
  <c r="C145" i="4"/>
  <c r="C147" i="4"/>
  <c r="C149" i="4"/>
  <c r="F134" i="4"/>
  <c r="F139" i="4"/>
  <c r="F144" i="4"/>
  <c r="F150" i="4"/>
  <c r="H134" i="4"/>
  <c r="H140" i="4"/>
  <c r="H145" i="4"/>
  <c r="H150" i="4"/>
  <c r="D172" i="4"/>
  <c r="D170" i="4"/>
  <c r="D168" i="4"/>
  <c r="D166" i="4"/>
  <c r="D164" i="4"/>
  <c r="D162" i="4"/>
  <c r="D160" i="4"/>
  <c r="D158" i="4"/>
  <c r="D156" i="4"/>
  <c r="C159" i="4"/>
  <c r="D161" i="4"/>
  <c r="C164" i="4"/>
  <c r="C167" i="4"/>
  <c r="D169" i="4"/>
  <c r="C172" i="4"/>
  <c r="G166" i="4" a="1"/>
  <c r="D188" i="4"/>
  <c r="B199" i="4"/>
  <c r="B195" i="4"/>
  <c r="B192" i="4"/>
  <c r="B202" i="4"/>
  <c r="B198" i="4"/>
  <c r="B194" i="4"/>
  <c r="B201" i="4"/>
  <c r="B197" i="4"/>
  <c r="B193" i="4"/>
  <c r="C194" i="4"/>
  <c r="C202" i="4"/>
  <c r="F211" i="4"/>
  <c r="H211" i="4"/>
  <c r="H215" i="4"/>
  <c r="H219" i="4"/>
  <c r="H223" i="4"/>
  <c r="C292" i="4"/>
  <c r="C290" i="4"/>
  <c r="D293" i="4"/>
  <c r="C291" i="4"/>
  <c r="D288" i="4"/>
  <c r="D286" i="4"/>
  <c r="D292" i="4"/>
  <c r="D289" i="4"/>
  <c r="D287" i="4"/>
  <c r="C286" i="4"/>
  <c r="C289" i="4"/>
  <c r="C293" i="4"/>
  <c r="C288" i="4"/>
  <c r="D291" i="4"/>
  <c r="C287" i="4"/>
  <c r="F160" i="4"/>
  <c r="F173" i="4" s="1"/>
  <c r="F164" i="4"/>
  <c r="F168" i="4"/>
  <c r="H160" i="4"/>
  <c r="I156" i="4" s="1" a="1"/>
  <c r="H164" i="4"/>
  <c r="H168" i="4"/>
  <c r="B179" i="4"/>
  <c r="B183" i="4"/>
  <c r="B187" i="4"/>
  <c r="C178" i="4"/>
  <c r="C180" i="4"/>
  <c r="C182" i="4"/>
  <c r="C184" i="4"/>
  <c r="C186" i="4"/>
  <c r="F177" i="4"/>
  <c r="F180" i="4"/>
  <c r="F184" i="4"/>
  <c r="H177" i="4"/>
  <c r="H180" i="4"/>
  <c r="H184" i="4"/>
  <c r="F194" i="4"/>
  <c r="F198" i="4"/>
  <c r="F202" i="4"/>
  <c r="H194" i="4"/>
  <c r="I192" i="4" s="1" a="1"/>
  <c r="H198" i="4"/>
  <c r="H203" i="4" s="1"/>
  <c r="I203" i="4" s="1"/>
  <c r="H202" i="4"/>
  <c r="B211" i="4"/>
  <c r="B215" i="4"/>
  <c r="B219" i="4"/>
  <c r="B223" i="4"/>
  <c r="C208" i="4"/>
  <c r="C210" i="4"/>
  <c r="C212" i="4"/>
  <c r="C214" i="4"/>
  <c r="C216" i="4"/>
  <c r="C218" i="4"/>
  <c r="C220" i="4"/>
  <c r="C222" i="4"/>
  <c r="H208" i="4"/>
  <c r="H212" i="4"/>
  <c r="H216" i="4"/>
  <c r="H220" i="4"/>
  <c r="B228" i="4"/>
  <c r="B231" i="4"/>
  <c r="B235" i="4"/>
  <c r="B240" i="4"/>
  <c r="D290" i="4"/>
  <c r="F181" i="4"/>
  <c r="F185" i="4"/>
  <c r="H181" i="4"/>
  <c r="H185" i="4"/>
  <c r="F192" i="4"/>
  <c r="F195" i="4"/>
  <c r="F199" i="4"/>
  <c r="H209" i="4"/>
  <c r="H213" i="4"/>
  <c r="H217" i="4"/>
  <c r="H221" i="4"/>
  <c r="B232" i="4"/>
  <c r="B236" i="4"/>
  <c r="F260" i="4"/>
  <c r="F256" i="4"/>
  <c r="F252" i="4"/>
  <c r="F248" i="4"/>
  <c r="F245" i="4"/>
  <c r="F259" i="4"/>
  <c r="F255" i="4"/>
  <c r="F251" i="4"/>
  <c r="F247" i="4"/>
  <c r="F258" i="4"/>
  <c r="F254" i="4"/>
  <c r="F250" i="4"/>
  <c r="F246" i="4"/>
  <c r="B181" i="4"/>
  <c r="C179" i="4"/>
  <c r="C181" i="4"/>
  <c r="C183" i="4"/>
  <c r="C185" i="4"/>
  <c r="F178" i="4"/>
  <c r="F182" i="4"/>
  <c r="H178" i="4"/>
  <c r="H182" i="4"/>
  <c r="F196" i="4"/>
  <c r="H196" i="4"/>
  <c r="B209" i="4"/>
  <c r="B213" i="4"/>
  <c r="B217" i="4"/>
  <c r="C209" i="4"/>
  <c r="C211" i="4"/>
  <c r="C213" i="4"/>
  <c r="C215" i="4"/>
  <c r="C217" i="4"/>
  <c r="C219" i="4"/>
  <c r="C221" i="4"/>
  <c r="H207" i="4"/>
  <c r="E207" i="4" s="1" a="1"/>
  <c r="H210" i="4"/>
  <c r="H214" i="4"/>
  <c r="H218" i="4"/>
  <c r="B229" i="4"/>
  <c r="B233" i="4"/>
  <c r="B238" i="4"/>
  <c r="F249" i="4"/>
  <c r="C228" i="4"/>
  <c r="D229" i="4"/>
  <c r="D231" i="4"/>
  <c r="D233" i="4"/>
  <c r="D241" i="4" s="1"/>
  <c r="D235" i="4"/>
  <c r="D237" i="4"/>
  <c r="D239" i="4"/>
  <c r="F230" i="4"/>
  <c r="F234" i="4"/>
  <c r="F238" i="4"/>
  <c r="B249" i="4"/>
  <c r="B253" i="4"/>
  <c r="B257" i="4"/>
  <c r="C245" i="4"/>
  <c r="D246" i="4"/>
  <c r="D248" i="4"/>
  <c r="D250" i="4"/>
  <c r="D252" i="4"/>
  <c r="D254" i="4"/>
  <c r="D256" i="4"/>
  <c r="D258" i="4"/>
  <c r="D260" i="4"/>
  <c r="B280" i="4"/>
  <c r="B276" i="4"/>
  <c r="B272" i="4"/>
  <c r="B268" i="4"/>
  <c r="B265" i="4"/>
  <c r="B270" i="4"/>
  <c r="B275" i="4"/>
  <c r="B281" i="4"/>
  <c r="D266" i="4"/>
  <c r="C269" i="4"/>
  <c r="C272" i="4"/>
  <c r="D274" i="4"/>
  <c r="C277" i="4"/>
  <c r="C280" i="4"/>
  <c r="D300" i="4"/>
  <c r="C306" i="4"/>
  <c r="D311" i="4"/>
  <c r="C230" i="4"/>
  <c r="C232" i="4"/>
  <c r="C234" i="4"/>
  <c r="C236" i="4"/>
  <c r="C238" i="4"/>
  <c r="F228" i="4"/>
  <c r="F231" i="4"/>
  <c r="F235" i="4"/>
  <c r="F239" i="4"/>
  <c r="H228" i="4"/>
  <c r="H231" i="4"/>
  <c r="H235" i="4"/>
  <c r="H239" i="4"/>
  <c r="B246" i="4"/>
  <c r="B250" i="4"/>
  <c r="B254" i="4"/>
  <c r="B258" i="4"/>
  <c r="C247" i="4"/>
  <c r="C249" i="4"/>
  <c r="C251" i="4"/>
  <c r="C253" i="4"/>
  <c r="C255" i="4"/>
  <c r="C257" i="4"/>
  <c r="C259" i="4"/>
  <c r="H249" i="4"/>
  <c r="H261" i="4" s="1"/>
  <c r="I261" i="4" s="1"/>
  <c r="H253" i="4"/>
  <c r="B266" i="4"/>
  <c r="B271" i="4"/>
  <c r="B277" i="4"/>
  <c r="C265" i="4"/>
  <c r="C267" i="4"/>
  <c r="C270" i="4"/>
  <c r="D272" i="4"/>
  <c r="C275" i="4"/>
  <c r="C278" i="4"/>
  <c r="C302" i="4"/>
  <c r="D307" i="4"/>
  <c r="F232" i="4"/>
  <c r="F236" i="4"/>
  <c r="H232" i="4"/>
  <c r="H236" i="4"/>
  <c r="B247" i="4"/>
  <c r="B251" i="4"/>
  <c r="B255" i="4"/>
  <c r="D245" i="4"/>
  <c r="D247" i="4"/>
  <c r="D249" i="4"/>
  <c r="D251" i="4"/>
  <c r="D253" i="4"/>
  <c r="D255" i="4"/>
  <c r="D257" i="4"/>
  <c r="B267" i="4"/>
  <c r="B273" i="4"/>
  <c r="B278" i="4"/>
  <c r="D281" i="4"/>
  <c r="D279" i="4"/>
  <c r="D277" i="4"/>
  <c r="D275" i="4"/>
  <c r="D273" i="4"/>
  <c r="D271" i="4"/>
  <c r="D269" i="4"/>
  <c r="D267" i="4"/>
  <c r="D265" i="4"/>
  <c r="C268" i="4"/>
  <c r="D270" i="4"/>
  <c r="C273" i="4"/>
  <c r="C276" i="4"/>
  <c r="D278" i="4"/>
  <c r="C281" i="4"/>
  <c r="I286" i="4" a="1"/>
  <c r="C313" i="4"/>
  <c r="C311" i="4"/>
  <c r="C309" i="4"/>
  <c r="C307" i="4"/>
  <c r="C305" i="4"/>
  <c r="C303" i="4"/>
  <c r="C301" i="4"/>
  <c r="C299" i="4"/>
  <c r="D314" i="4"/>
  <c r="C312" i="4"/>
  <c r="D309" i="4"/>
  <c r="D306" i="4"/>
  <c r="C304" i="4"/>
  <c r="D301" i="4"/>
  <c r="D298" i="4"/>
  <c r="D313" i="4"/>
  <c r="D310" i="4"/>
  <c r="C308" i="4"/>
  <c r="D305" i="4"/>
  <c r="D302" i="4"/>
  <c r="C300" i="4"/>
  <c r="C298" i="4"/>
  <c r="D303" i="4"/>
  <c r="D308" i="4"/>
  <c r="C314" i="4"/>
  <c r="H333" i="4"/>
  <c r="H329" i="4"/>
  <c r="H325" i="4"/>
  <c r="H321" i="4"/>
  <c r="H334" i="4"/>
  <c r="H328" i="4"/>
  <c r="H323" i="4"/>
  <c r="H319" i="4"/>
  <c r="H331" i="4"/>
  <c r="H326" i="4"/>
  <c r="H320" i="4"/>
  <c r="H330" i="4"/>
  <c r="B290" i="4"/>
  <c r="F298" i="4"/>
  <c r="F302" i="4"/>
  <c r="F308" i="4"/>
  <c r="C334" i="4"/>
  <c r="C332" i="4"/>
  <c r="C330" i="4"/>
  <c r="C328" i="4"/>
  <c r="C326" i="4"/>
  <c r="C324" i="4"/>
  <c r="C322" i="4"/>
  <c r="C320" i="4"/>
  <c r="D334" i="4"/>
  <c r="D331" i="4"/>
  <c r="C329" i="4"/>
  <c r="D326" i="4"/>
  <c r="D323" i="4"/>
  <c r="C321" i="4"/>
  <c r="C319" i="4"/>
  <c r="C333" i="4"/>
  <c r="D330" i="4"/>
  <c r="D327" i="4"/>
  <c r="C325" i="4"/>
  <c r="D322" i="4"/>
  <c r="D319" i="4"/>
  <c r="D324" i="4"/>
  <c r="D329" i="4"/>
  <c r="H322" i="4"/>
  <c r="H332" i="4"/>
  <c r="F311" i="4"/>
  <c r="F307" i="4"/>
  <c r="F303" i="4"/>
  <c r="F299" i="4"/>
  <c r="F304" i="4"/>
  <c r="F309" i="4"/>
  <c r="F314" i="4"/>
  <c r="H311" i="4"/>
  <c r="H307" i="4"/>
  <c r="H313" i="4"/>
  <c r="H308" i="4"/>
  <c r="H303" i="4"/>
  <c r="H299" i="4"/>
  <c r="H310" i="4"/>
  <c r="H305" i="4"/>
  <c r="H301" i="4"/>
  <c r="H298" i="4"/>
  <c r="H306" i="4"/>
  <c r="D320" i="4"/>
  <c r="D325" i="4"/>
  <c r="C331" i="4"/>
  <c r="H324" i="4"/>
  <c r="F269" i="4"/>
  <c r="F282" i="4" s="1"/>
  <c r="F273" i="4"/>
  <c r="G265" i="4" s="1" a="1"/>
  <c r="F277" i="4"/>
  <c r="H269" i="4"/>
  <c r="H282" i="4" s="1"/>
  <c r="I282" i="4" s="1"/>
  <c r="H273" i="4"/>
  <c r="I265" i="4" s="1" a="1"/>
  <c r="H277" i="4"/>
  <c r="B288" i="4"/>
  <c r="F292" i="4"/>
  <c r="F288" i="4"/>
  <c r="F294" i="4" s="1"/>
  <c r="F291" i="4"/>
  <c r="F300" i="4"/>
  <c r="F305" i="4"/>
  <c r="F310" i="4"/>
  <c r="H300" i="4"/>
  <c r="H309" i="4"/>
  <c r="D321" i="4"/>
  <c r="C327" i="4"/>
  <c r="D332" i="4"/>
  <c r="H327" i="4"/>
  <c r="B345" i="4"/>
  <c r="B341" i="4"/>
  <c r="B346" i="4"/>
  <c r="B340" i="4"/>
  <c r="B343" i="4"/>
  <c r="B339" i="4"/>
  <c r="D345" i="4"/>
  <c r="D343" i="4"/>
  <c r="D341" i="4"/>
  <c r="D339" i="4"/>
  <c r="C342" i="4"/>
  <c r="D344" i="4"/>
  <c r="F340" i="4"/>
  <c r="F345" i="4"/>
  <c r="H339" i="4"/>
  <c r="H344" i="4"/>
  <c r="H340" i="4"/>
  <c r="H345" i="4"/>
  <c r="B302" i="4"/>
  <c r="B306" i="4"/>
  <c r="B310" i="4"/>
  <c r="B334" i="4"/>
  <c r="B330" i="4"/>
  <c r="B326" i="4"/>
  <c r="B322" i="4"/>
  <c r="B319" i="4"/>
  <c r="B324" i="4"/>
  <c r="B329" i="4"/>
  <c r="D340" i="4"/>
  <c r="C343" i="4"/>
  <c r="C346" i="4"/>
  <c r="H341" i="4"/>
  <c r="H346" i="4"/>
  <c r="F346" i="4"/>
  <c r="F342" i="4"/>
  <c r="F339" i="4"/>
  <c r="F344" i="4"/>
  <c r="H342" i="4"/>
  <c r="D360" i="4"/>
  <c r="F323" i="4"/>
  <c r="F327" i="4"/>
  <c r="B352" i="4"/>
  <c r="B356" i="4"/>
  <c r="C351" i="4"/>
  <c r="D352" i="4"/>
  <c r="D354" i="4"/>
  <c r="D356" i="4"/>
  <c r="D358" i="4"/>
  <c r="F353" i="4"/>
  <c r="F357" i="4"/>
  <c r="H353" i="4"/>
  <c r="H357" i="4"/>
  <c r="C353" i="4"/>
  <c r="C355" i="4"/>
  <c r="C357" i="4"/>
  <c r="C359" i="4"/>
  <c r="F351" i="4"/>
  <c r="F354" i="4"/>
  <c r="F358" i="4"/>
  <c r="H351" i="4"/>
  <c r="H354" i="4"/>
  <c r="H358" i="4"/>
  <c r="F355" i="4"/>
  <c r="F359" i="4"/>
  <c r="H355" i="4"/>
  <c r="H359" i="4"/>
  <c r="B355" i="4"/>
  <c r="C352" i="4"/>
  <c r="C354" i="4"/>
  <c r="C356" i="4"/>
  <c r="F352" i="4"/>
  <c r="H352" i="4"/>
  <c r="E220" i="4" l="1"/>
  <c r="E216" i="4"/>
  <c r="E212" i="4"/>
  <c r="E208" i="4"/>
  <c r="E223" i="4"/>
  <c r="E219" i="4"/>
  <c r="E215" i="4"/>
  <c r="E211" i="4"/>
  <c r="E222" i="4"/>
  <c r="E218" i="4"/>
  <c r="E214" i="4"/>
  <c r="E210" i="4"/>
  <c r="E207" i="4"/>
  <c r="E213" i="4"/>
  <c r="E209" i="4"/>
  <c r="E221" i="4"/>
  <c r="E217" i="4"/>
  <c r="E241" i="4"/>
  <c r="G18" i="4"/>
  <c r="G14" i="4"/>
  <c r="G10" i="4"/>
  <c r="G20" i="4"/>
  <c r="G16" i="4"/>
  <c r="G12" i="4"/>
  <c r="G8" i="4"/>
  <c r="G19" i="4"/>
  <c r="G15" i="4"/>
  <c r="G11" i="4"/>
  <c r="G7" i="4"/>
  <c r="G6" i="4"/>
  <c r="G13" i="4"/>
  <c r="G9" i="4"/>
  <c r="G17" i="4"/>
  <c r="E68" i="4"/>
  <c r="E64" i="4"/>
  <c r="E60" i="4"/>
  <c r="E57" i="4"/>
  <c r="E67" i="4"/>
  <c r="E63" i="4"/>
  <c r="E59" i="4"/>
  <c r="E66" i="4"/>
  <c r="E62" i="4"/>
  <c r="E58" i="4"/>
  <c r="E69" i="4"/>
  <c r="E65" i="4"/>
  <c r="E61" i="4"/>
  <c r="G92" i="4"/>
  <c r="G279" i="4"/>
  <c r="G275" i="4"/>
  <c r="G271" i="4"/>
  <c r="G267" i="4"/>
  <c r="G278" i="4"/>
  <c r="G273" i="4"/>
  <c r="G268" i="4"/>
  <c r="G277" i="4"/>
  <c r="G272" i="4"/>
  <c r="G266" i="4"/>
  <c r="G281" i="4"/>
  <c r="G276" i="4"/>
  <c r="G270" i="4"/>
  <c r="G265" i="4"/>
  <c r="G280" i="4"/>
  <c r="G274" i="4"/>
  <c r="G269" i="4"/>
  <c r="G50" i="4"/>
  <c r="G46" i="4"/>
  <c r="G42" i="4"/>
  <c r="G38" i="4"/>
  <c r="G49" i="4"/>
  <c r="G45" i="4"/>
  <c r="G41" i="4"/>
  <c r="G52" i="4"/>
  <c r="G48" i="4"/>
  <c r="G44" i="4"/>
  <c r="G40" i="4"/>
  <c r="G37" i="4"/>
  <c r="G51" i="4"/>
  <c r="G47" i="4"/>
  <c r="G43" i="4"/>
  <c r="G39" i="4"/>
  <c r="I279" i="4"/>
  <c r="I275" i="4"/>
  <c r="I271" i="4"/>
  <c r="I267" i="4"/>
  <c r="I278" i="4"/>
  <c r="I273" i="4"/>
  <c r="I268" i="4"/>
  <c r="I277" i="4"/>
  <c r="I272" i="4"/>
  <c r="I266" i="4"/>
  <c r="I281" i="4"/>
  <c r="I276" i="4"/>
  <c r="I270" i="4"/>
  <c r="I274" i="4"/>
  <c r="I269" i="4"/>
  <c r="I265" i="4"/>
  <c r="I280" i="4"/>
  <c r="G282" i="4"/>
  <c r="I200" i="4"/>
  <c r="I196" i="4"/>
  <c r="I199" i="4"/>
  <c r="I195" i="4"/>
  <c r="I192" i="4"/>
  <c r="I202" i="4"/>
  <c r="I198" i="4"/>
  <c r="I194" i="4"/>
  <c r="I201" i="4"/>
  <c r="I197" i="4"/>
  <c r="I193" i="4"/>
  <c r="I170" i="4"/>
  <c r="I166" i="4"/>
  <c r="I162" i="4"/>
  <c r="I158" i="4"/>
  <c r="I172" i="4"/>
  <c r="I167" i="4"/>
  <c r="I161" i="4"/>
  <c r="I171" i="4"/>
  <c r="I165" i="4"/>
  <c r="I160" i="4"/>
  <c r="I156" i="4"/>
  <c r="I169" i="4"/>
  <c r="I164" i="4"/>
  <c r="I159" i="4"/>
  <c r="I168" i="4"/>
  <c r="I163" i="4"/>
  <c r="I157" i="4"/>
  <c r="G53" i="4"/>
  <c r="E52" i="4"/>
  <c r="E48" i="4"/>
  <c r="E44" i="4"/>
  <c r="E40" i="4"/>
  <c r="E37" i="4"/>
  <c r="E51" i="4"/>
  <c r="E47" i="4"/>
  <c r="E43" i="4"/>
  <c r="E39" i="4"/>
  <c r="E50" i="4"/>
  <c r="E46" i="4"/>
  <c r="E42" i="4"/>
  <c r="E38" i="4"/>
  <c r="E49" i="4"/>
  <c r="E45" i="4"/>
  <c r="E41" i="4"/>
  <c r="G192" i="4" a="1"/>
  <c r="F203" i="4"/>
  <c r="G203" i="4" s="1"/>
  <c r="D173" i="4"/>
  <c r="E156" i="4" a="1"/>
  <c r="G207" i="4" a="1"/>
  <c r="F224" i="4"/>
  <c r="I113" i="4" a="1"/>
  <c r="H128" i="4"/>
  <c r="I128" i="4" s="1"/>
  <c r="F128" i="4"/>
  <c r="G128" i="4" s="1"/>
  <c r="G113" i="4" a="1"/>
  <c r="H92" i="4"/>
  <c r="I92" i="4" s="1"/>
  <c r="I74" i="4" a="1"/>
  <c r="E74" i="4" a="1"/>
  <c r="I67" i="4"/>
  <c r="I63" i="4"/>
  <c r="I59" i="4"/>
  <c r="I68" i="4"/>
  <c r="I64" i="4"/>
  <c r="I66" i="4"/>
  <c r="I60" i="4"/>
  <c r="I65" i="4"/>
  <c r="I58" i="4"/>
  <c r="I62" i="4"/>
  <c r="I69" i="4"/>
  <c r="I61" i="4"/>
  <c r="I57" i="4"/>
  <c r="F70" i="4"/>
  <c r="G57" i="4" a="1"/>
  <c r="I37" i="4" a="1"/>
  <c r="D26" i="3"/>
  <c r="E6" i="3" a="1"/>
  <c r="F21" i="4"/>
  <c r="E360" i="4"/>
  <c r="H347" i="4"/>
  <c r="I347" i="4" s="1"/>
  <c r="I339" i="4" a="1"/>
  <c r="E245" i="4" a="1"/>
  <c r="D261" i="4"/>
  <c r="E261" i="4" s="1"/>
  <c r="E228" i="4" a="1"/>
  <c r="H224" i="4"/>
  <c r="I224" i="4" s="1"/>
  <c r="I207" i="4" a="1"/>
  <c r="I245" i="4" a="1"/>
  <c r="G170" i="4"/>
  <c r="G169" i="4"/>
  <c r="G168" i="4"/>
  <c r="G172" i="4"/>
  <c r="G167" i="4"/>
  <c r="G171" i="4"/>
  <c r="G166" i="4"/>
  <c r="E6" i="4" a="1"/>
  <c r="D21" i="4"/>
  <c r="H360" i="4"/>
  <c r="I360" i="4" s="1"/>
  <c r="I351" i="4" a="1"/>
  <c r="F335" i="4"/>
  <c r="G335" i="4" s="1"/>
  <c r="I293" i="4"/>
  <c r="I289" i="4"/>
  <c r="I286" i="4"/>
  <c r="I290" i="4"/>
  <c r="I292" i="4"/>
  <c r="I287" i="4"/>
  <c r="I291" i="4"/>
  <c r="I288" i="4"/>
  <c r="F261" i="4"/>
  <c r="G261" i="4" s="1"/>
  <c r="G245" i="4" a="1"/>
  <c r="G286" i="4" a="1"/>
  <c r="F188" i="4"/>
  <c r="G188" i="4" s="1"/>
  <c r="G177" i="4" a="1"/>
  <c r="G156" i="4" a="1"/>
  <c r="F33" i="4"/>
  <c r="G25" i="4" a="1"/>
  <c r="H173" i="4"/>
  <c r="I173" i="4" s="1"/>
  <c r="D53" i="4"/>
  <c r="E53" i="4" s="1"/>
  <c r="F26" i="3"/>
  <c r="G26" i="3" s="1"/>
  <c r="G6" i="3" a="1"/>
  <c r="H70" i="4"/>
  <c r="D335" i="4"/>
  <c r="E335" i="4" s="1"/>
  <c r="E319" i="4" a="1"/>
  <c r="F360" i="4"/>
  <c r="G351" i="4" a="1"/>
  <c r="D347" i="4"/>
  <c r="E347" i="4" s="1"/>
  <c r="E339" i="4" a="1"/>
  <c r="I319" i="4" a="1"/>
  <c r="H335" i="4"/>
  <c r="I335" i="4" s="1"/>
  <c r="D282" i="4"/>
  <c r="E282" i="4" s="1"/>
  <c r="E265" i="4" a="1"/>
  <c r="G319" i="4" a="1"/>
  <c r="E132" i="4" a="1"/>
  <c r="D152" i="4"/>
  <c r="E224" i="4"/>
  <c r="D128" i="4"/>
  <c r="E113" i="4" a="1"/>
  <c r="I96" i="4" a="1"/>
  <c r="H109" i="4"/>
  <c r="I109" i="4" s="1"/>
  <c r="G96" i="4" a="1"/>
  <c r="F109" i="4"/>
  <c r="G74" i="4" a="1"/>
  <c r="D33" i="4"/>
  <c r="E33" i="4" s="1"/>
  <c r="E25" i="4" a="1"/>
  <c r="H26" i="3"/>
  <c r="I6" i="3" a="1"/>
  <c r="H33" i="4"/>
  <c r="I33" i="4" s="1"/>
  <c r="I25" i="4" a="1"/>
  <c r="H21" i="4"/>
  <c r="H6" i="2"/>
  <c r="G5" i="2"/>
  <c r="G6" i="2" s="1"/>
  <c r="I5" i="2"/>
  <c r="I6" i="2" s="1"/>
  <c r="E5" i="2"/>
  <c r="E6" i="2" s="1"/>
  <c r="E286" i="4" a="1"/>
  <c r="D294" i="4"/>
  <c r="E351" i="4" a="1"/>
  <c r="F347" i="4"/>
  <c r="G347" i="4" s="1"/>
  <c r="G339" i="4" a="1"/>
  <c r="H315" i="4"/>
  <c r="I315" i="4" s="1"/>
  <c r="I298" i="4" a="1"/>
  <c r="F315" i="4"/>
  <c r="G298" i="4" a="1"/>
  <c r="D315" i="4"/>
  <c r="E315" i="4" s="1"/>
  <c r="E298" i="4" a="1"/>
  <c r="H241" i="4"/>
  <c r="I241" i="4" s="1"/>
  <c r="I228" i="4" a="1"/>
  <c r="G228" i="4" a="1"/>
  <c r="F241" i="4"/>
  <c r="I177" i="4" a="1"/>
  <c r="H188" i="4"/>
  <c r="I188" i="4" s="1"/>
  <c r="E177" i="4" a="1"/>
  <c r="E192" i="4" a="1"/>
  <c r="D203" i="4"/>
  <c r="E203" i="4" s="1"/>
  <c r="H152" i="4"/>
  <c r="I152" i="4" s="1"/>
  <c r="I132" i="4" a="1"/>
  <c r="F152" i="4"/>
  <c r="G132" i="4" a="1"/>
  <c r="E96" i="4" a="1"/>
  <c r="I6" i="4" a="1"/>
  <c r="I150" i="4" l="1"/>
  <c r="I146" i="4"/>
  <c r="I142" i="4"/>
  <c r="I138" i="4"/>
  <c r="I134" i="4"/>
  <c r="I151" i="4"/>
  <c r="I145" i="4"/>
  <c r="I140" i="4"/>
  <c r="I135" i="4"/>
  <c r="I149" i="4"/>
  <c r="I144" i="4"/>
  <c r="I139" i="4"/>
  <c r="I133" i="4"/>
  <c r="I148" i="4"/>
  <c r="I143" i="4"/>
  <c r="I137" i="4"/>
  <c r="I147" i="4"/>
  <c r="I141" i="4"/>
  <c r="I136" i="4"/>
  <c r="I132" i="4"/>
  <c r="I259" i="4"/>
  <c r="I255" i="4"/>
  <c r="I251" i="4"/>
  <c r="I260" i="4"/>
  <c r="I254" i="4"/>
  <c r="I249" i="4"/>
  <c r="I258" i="4"/>
  <c r="I253" i="4"/>
  <c r="I248" i="4"/>
  <c r="I245" i="4"/>
  <c r="I257" i="4"/>
  <c r="I252" i="4"/>
  <c r="I247" i="4"/>
  <c r="I256" i="4"/>
  <c r="I250" i="4"/>
  <c r="I246" i="4"/>
  <c r="G220" i="4"/>
  <c r="G216" i="4"/>
  <c r="G212" i="4"/>
  <c r="G208" i="4"/>
  <c r="G223" i="4"/>
  <c r="G219" i="4"/>
  <c r="G215" i="4"/>
  <c r="G211" i="4"/>
  <c r="G222" i="4"/>
  <c r="G218" i="4"/>
  <c r="G214" i="4"/>
  <c r="G210" i="4"/>
  <c r="G207" i="4"/>
  <c r="G209" i="4"/>
  <c r="G221" i="4"/>
  <c r="G217" i="4"/>
  <c r="G213" i="4"/>
  <c r="I18" i="4"/>
  <c r="I14" i="4"/>
  <c r="I10" i="4"/>
  <c r="I20" i="4"/>
  <c r="I16" i="4"/>
  <c r="I12" i="4"/>
  <c r="I8" i="4"/>
  <c r="I19" i="4"/>
  <c r="I15" i="4"/>
  <c r="I11" i="4"/>
  <c r="I7" i="4"/>
  <c r="I17" i="4"/>
  <c r="I9" i="4"/>
  <c r="I6" i="4"/>
  <c r="I13" i="4"/>
  <c r="E332" i="4"/>
  <c r="E328" i="4"/>
  <c r="E324" i="4"/>
  <c r="E320" i="4"/>
  <c r="E333" i="4"/>
  <c r="E327" i="4"/>
  <c r="E322" i="4"/>
  <c r="E330" i="4"/>
  <c r="E325" i="4"/>
  <c r="E334" i="4"/>
  <c r="E323" i="4"/>
  <c r="E331" i="4"/>
  <c r="E321" i="4"/>
  <c r="E329" i="4"/>
  <c r="E319" i="4"/>
  <c r="E326" i="4"/>
  <c r="G33" i="4"/>
  <c r="G345" i="4"/>
  <c r="G341" i="4"/>
  <c r="G346" i="4"/>
  <c r="G340" i="4"/>
  <c r="G344" i="4"/>
  <c r="G342" i="4"/>
  <c r="G339" i="4"/>
  <c r="G343" i="4"/>
  <c r="G238" i="4"/>
  <c r="G234" i="4"/>
  <c r="G230" i="4"/>
  <c r="G237" i="4"/>
  <c r="G233" i="4"/>
  <c r="G229" i="4"/>
  <c r="G240" i="4"/>
  <c r="G236" i="4"/>
  <c r="G232" i="4"/>
  <c r="G228" i="4"/>
  <c r="G239" i="4"/>
  <c r="G235" i="4"/>
  <c r="G231" i="4"/>
  <c r="E294" i="4"/>
  <c r="I294" i="4"/>
  <c r="E279" i="4"/>
  <c r="E275" i="4"/>
  <c r="E271" i="4"/>
  <c r="E267" i="4"/>
  <c r="E278" i="4"/>
  <c r="E273" i="4"/>
  <c r="E268" i="4"/>
  <c r="E277" i="4"/>
  <c r="E272" i="4"/>
  <c r="E266" i="4"/>
  <c r="E281" i="4"/>
  <c r="E276" i="4"/>
  <c r="E270" i="4"/>
  <c r="E274" i="4"/>
  <c r="E269" i="4"/>
  <c r="E265" i="4"/>
  <c r="E280" i="4"/>
  <c r="E18" i="4"/>
  <c r="E14" i="4"/>
  <c r="E10" i="4"/>
  <c r="E20" i="4"/>
  <c r="E16" i="4"/>
  <c r="E12" i="4"/>
  <c r="E8" i="4"/>
  <c r="E19" i="4"/>
  <c r="E15" i="4"/>
  <c r="E11" i="4"/>
  <c r="E7" i="4"/>
  <c r="E9" i="4"/>
  <c r="E17" i="4"/>
  <c r="E13" i="4"/>
  <c r="E6" i="4"/>
  <c r="I52" i="4"/>
  <c r="I48" i="4"/>
  <c r="I44" i="4"/>
  <c r="I40" i="4"/>
  <c r="I37" i="4"/>
  <c r="I51" i="4"/>
  <c r="I47" i="4"/>
  <c r="I43" i="4"/>
  <c r="I39" i="4"/>
  <c r="I50" i="4"/>
  <c r="I46" i="4"/>
  <c r="I42" i="4"/>
  <c r="I38" i="4"/>
  <c r="I49" i="4"/>
  <c r="I45" i="4"/>
  <c r="I41" i="4"/>
  <c r="G313" i="4"/>
  <c r="G309" i="4"/>
  <c r="G305" i="4"/>
  <c r="G301" i="4"/>
  <c r="G298" i="4"/>
  <c r="G311" i="4"/>
  <c r="G307" i="4"/>
  <c r="G310" i="4"/>
  <c r="G303" i="4"/>
  <c r="G308" i="4"/>
  <c r="G302" i="4"/>
  <c r="G314" i="4"/>
  <c r="G306" i="4"/>
  <c r="G300" i="4"/>
  <c r="G299" i="4"/>
  <c r="G312" i="4"/>
  <c r="G304" i="4"/>
  <c r="E293" i="4"/>
  <c r="E289" i="4"/>
  <c r="E286" i="4"/>
  <c r="E290" i="4"/>
  <c r="E292" i="4"/>
  <c r="E287" i="4"/>
  <c r="E291" i="4"/>
  <c r="E288" i="4"/>
  <c r="G90" i="4"/>
  <c r="G86" i="4"/>
  <c r="G82" i="4"/>
  <c r="G78" i="4"/>
  <c r="G91" i="4"/>
  <c r="G87" i="4"/>
  <c r="G83" i="4"/>
  <c r="G79" i="4"/>
  <c r="G75" i="4"/>
  <c r="G84" i="4"/>
  <c r="G76" i="4"/>
  <c r="G89" i="4"/>
  <c r="G81" i="4"/>
  <c r="G74" i="4"/>
  <c r="G88" i="4"/>
  <c r="G80" i="4"/>
  <c r="G85" i="4"/>
  <c r="G77" i="4"/>
  <c r="E152" i="4"/>
  <c r="G291" i="4"/>
  <c r="G287" i="4"/>
  <c r="G293" i="4"/>
  <c r="G288" i="4"/>
  <c r="G290" i="4"/>
  <c r="G286" i="4"/>
  <c r="G292" i="4"/>
  <c r="G289" i="4"/>
  <c r="E257" i="4"/>
  <c r="E253" i="4"/>
  <c r="E249" i="4"/>
  <c r="E260" i="4"/>
  <c r="E256" i="4"/>
  <c r="E252" i="4"/>
  <c r="E248" i="4"/>
  <c r="E245" i="4"/>
  <c r="E259" i="4"/>
  <c r="E255" i="4"/>
  <c r="E251" i="4"/>
  <c r="E247" i="4"/>
  <c r="E250" i="4"/>
  <c r="E246" i="4"/>
  <c r="E258" i="4"/>
  <c r="E254" i="4"/>
  <c r="G68" i="4"/>
  <c r="G64" i="4"/>
  <c r="G60" i="4"/>
  <c r="G57" i="4"/>
  <c r="G67" i="4"/>
  <c r="G63" i="4"/>
  <c r="G59" i="4"/>
  <c r="G66" i="4"/>
  <c r="G62" i="4"/>
  <c r="G58" i="4"/>
  <c r="G69" i="4"/>
  <c r="G65" i="4"/>
  <c r="G61" i="4"/>
  <c r="E170" i="4"/>
  <c r="E166" i="4"/>
  <c r="E162" i="4"/>
  <c r="E158" i="4"/>
  <c r="E169" i="4"/>
  <c r="E164" i="4"/>
  <c r="E159" i="4"/>
  <c r="E168" i="4"/>
  <c r="E163" i="4"/>
  <c r="E157" i="4"/>
  <c r="E172" i="4"/>
  <c r="E167" i="4"/>
  <c r="E161" i="4"/>
  <c r="E171" i="4"/>
  <c r="E165" i="4"/>
  <c r="E160" i="4"/>
  <c r="E156" i="4"/>
  <c r="G200" i="4"/>
  <c r="G196" i="4"/>
  <c r="G199" i="4"/>
  <c r="G195" i="4"/>
  <c r="G192" i="4"/>
  <c r="G202" i="4"/>
  <c r="G198" i="4"/>
  <c r="G194" i="4"/>
  <c r="G193" i="4"/>
  <c r="G201" i="4"/>
  <c r="G197" i="4"/>
  <c r="I186" i="4"/>
  <c r="I182" i="4"/>
  <c r="I178" i="4"/>
  <c r="I185" i="4"/>
  <c r="I181" i="4"/>
  <c r="I184" i="4"/>
  <c r="I180" i="4"/>
  <c r="I177" i="4"/>
  <c r="I179" i="4"/>
  <c r="I187" i="4"/>
  <c r="I183" i="4"/>
  <c r="E126" i="4"/>
  <c r="E122" i="4"/>
  <c r="E118" i="4"/>
  <c r="E114" i="4"/>
  <c r="E124" i="4"/>
  <c r="E120" i="4"/>
  <c r="E116" i="4"/>
  <c r="E113" i="4"/>
  <c r="E127" i="4"/>
  <c r="E123" i="4"/>
  <c r="E119" i="4"/>
  <c r="E115" i="4"/>
  <c r="E125" i="4"/>
  <c r="E121" i="4"/>
  <c r="E117" i="4"/>
  <c r="G358" i="4"/>
  <c r="G354" i="4"/>
  <c r="G351" i="4"/>
  <c r="G357" i="4"/>
  <c r="G353" i="4"/>
  <c r="G356" i="4"/>
  <c r="G352" i="4"/>
  <c r="G359" i="4"/>
  <c r="G355" i="4"/>
  <c r="I70" i="4"/>
  <c r="E70" i="4"/>
  <c r="G259" i="4"/>
  <c r="G255" i="4"/>
  <c r="G251" i="4"/>
  <c r="G247" i="4"/>
  <c r="G258" i="4"/>
  <c r="G254" i="4"/>
  <c r="G250" i="4"/>
  <c r="G246" i="4"/>
  <c r="G257" i="4"/>
  <c r="G253" i="4"/>
  <c r="G249" i="4"/>
  <c r="G248" i="4"/>
  <c r="G260" i="4"/>
  <c r="G245" i="4"/>
  <c r="G256" i="4"/>
  <c r="G252" i="4"/>
  <c r="I343" i="4"/>
  <c r="I344" i="4"/>
  <c r="I339" i="4"/>
  <c r="I342" i="4"/>
  <c r="I346" i="4"/>
  <c r="I341" i="4"/>
  <c r="I345" i="4"/>
  <c r="I340" i="4"/>
  <c r="E24" i="3"/>
  <c r="E20" i="3"/>
  <c r="E16" i="3"/>
  <c r="E12" i="3"/>
  <c r="E8" i="3"/>
  <c r="E22" i="3"/>
  <c r="E18" i="3"/>
  <c r="E14" i="3"/>
  <c r="E10" i="3"/>
  <c r="E19" i="3"/>
  <c r="E11" i="3"/>
  <c r="E23" i="3"/>
  <c r="E15" i="3"/>
  <c r="E7" i="3"/>
  <c r="E21" i="3"/>
  <c r="E13" i="3"/>
  <c r="E6" i="3"/>
  <c r="E25" i="3"/>
  <c r="E17" i="3"/>
  <c r="E9" i="3"/>
  <c r="G70" i="4"/>
  <c r="I126" i="4"/>
  <c r="I122" i="4"/>
  <c r="I118" i="4"/>
  <c r="I114" i="4"/>
  <c r="I125" i="4"/>
  <c r="I121" i="4"/>
  <c r="I117" i="4"/>
  <c r="I124" i="4"/>
  <c r="I120" i="4"/>
  <c r="I116" i="4"/>
  <c r="I113" i="4"/>
  <c r="I127" i="4"/>
  <c r="I123" i="4"/>
  <c r="I119" i="4"/>
  <c r="I115" i="4"/>
  <c r="E173" i="4"/>
  <c r="G173" i="4"/>
  <c r="E92" i="4"/>
  <c r="E186" i="4"/>
  <c r="E182" i="4"/>
  <c r="E178" i="4"/>
  <c r="E184" i="4"/>
  <c r="E180" i="4"/>
  <c r="E177" i="4"/>
  <c r="E187" i="4"/>
  <c r="E179" i="4"/>
  <c r="E185" i="4"/>
  <c r="E183" i="4"/>
  <c r="E181" i="4"/>
  <c r="E343" i="4"/>
  <c r="E346" i="4"/>
  <c r="E341" i="4"/>
  <c r="E344" i="4"/>
  <c r="E339" i="4"/>
  <c r="E342" i="4"/>
  <c r="E340" i="4"/>
  <c r="E345" i="4"/>
  <c r="E88" i="4"/>
  <c r="E84" i="4"/>
  <c r="E80" i="4"/>
  <c r="E76" i="4"/>
  <c r="E89" i="4"/>
  <c r="E85" i="4"/>
  <c r="E81" i="4"/>
  <c r="E77" i="4"/>
  <c r="E74" i="4"/>
  <c r="E86" i="4"/>
  <c r="E78" i="4"/>
  <c r="E91" i="4"/>
  <c r="E83" i="4"/>
  <c r="E75" i="4"/>
  <c r="E90" i="4"/>
  <c r="E82" i="4"/>
  <c r="E87" i="4"/>
  <c r="E79" i="4"/>
  <c r="E108" i="4"/>
  <c r="E104" i="4"/>
  <c r="E100" i="4"/>
  <c r="E105" i="4"/>
  <c r="E101" i="4"/>
  <c r="E97" i="4"/>
  <c r="E106" i="4"/>
  <c r="E98" i="4"/>
  <c r="E103" i="4"/>
  <c r="E96" i="4"/>
  <c r="E102" i="4"/>
  <c r="E107" i="4"/>
  <c r="E99" i="4"/>
  <c r="I238" i="4"/>
  <c r="I234" i="4"/>
  <c r="I230" i="4"/>
  <c r="I237" i="4"/>
  <c r="I233" i="4"/>
  <c r="I229" i="4"/>
  <c r="I240" i="4"/>
  <c r="I236" i="4"/>
  <c r="I232" i="4"/>
  <c r="I231" i="4"/>
  <c r="I228" i="4"/>
  <c r="I239" i="4"/>
  <c r="I235" i="4"/>
  <c r="I24" i="3"/>
  <c r="I20" i="3"/>
  <c r="I16" i="3"/>
  <c r="I12" i="3"/>
  <c r="I8" i="3"/>
  <c r="I22" i="3"/>
  <c r="I18" i="3"/>
  <c r="I14" i="3"/>
  <c r="I10" i="3"/>
  <c r="I25" i="3"/>
  <c r="I21" i="3"/>
  <c r="I17" i="3"/>
  <c r="I13" i="3"/>
  <c r="I9" i="3"/>
  <c r="I6" i="3"/>
  <c r="I11" i="3"/>
  <c r="I19" i="3"/>
  <c r="I15" i="3"/>
  <c r="I23" i="3"/>
  <c r="I7" i="3"/>
  <c r="I108" i="4"/>
  <c r="I104" i="4"/>
  <c r="I100" i="4"/>
  <c r="I106" i="4"/>
  <c r="I102" i="4"/>
  <c r="I98" i="4"/>
  <c r="I105" i="4"/>
  <c r="I101" i="4"/>
  <c r="I97" i="4"/>
  <c r="I103" i="4"/>
  <c r="I99" i="4"/>
  <c r="I96" i="4"/>
  <c r="I107" i="4"/>
  <c r="E109" i="4"/>
  <c r="I358" i="4"/>
  <c r="I354" i="4"/>
  <c r="I351" i="4"/>
  <c r="I357" i="4"/>
  <c r="I353" i="4"/>
  <c r="I356" i="4"/>
  <c r="I352" i="4"/>
  <c r="I359" i="4"/>
  <c r="I355" i="4"/>
  <c r="I220" i="4"/>
  <c r="I216" i="4"/>
  <c r="I212" i="4"/>
  <c r="I208" i="4"/>
  <c r="I223" i="4"/>
  <c r="I219" i="4"/>
  <c r="I215" i="4"/>
  <c r="I211" i="4"/>
  <c r="I222" i="4"/>
  <c r="I218" i="4"/>
  <c r="I214" i="4"/>
  <c r="I210" i="4"/>
  <c r="I207" i="4"/>
  <c r="I221" i="4"/>
  <c r="I217" i="4"/>
  <c r="I213" i="4"/>
  <c r="I209" i="4"/>
  <c r="F361" i="4" a="1"/>
  <c r="F361" i="4" s="1"/>
  <c r="G361" i="4" s="1"/>
  <c r="G21" i="4"/>
  <c r="I88" i="4"/>
  <c r="I84" i="4"/>
  <c r="I80" i="4"/>
  <c r="I76" i="4"/>
  <c r="I89" i="4"/>
  <c r="I85" i="4"/>
  <c r="I81" i="4"/>
  <c r="I77" i="4"/>
  <c r="I74" i="4"/>
  <c r="I86" i="4"/>
  <c r="I78" i="4"/>
  <c r="I91" i="4"/>
  <c r="I83" i="4"/>
  <c r="I75" i="4"/>
  <c r="I90" i="4"/>
  <c r="I82" i="4"/>
  <c r="I87" i="4"/>
  <c r="I79" i="4"/>
  <c r="G148" i="4"/>
  <c r="G144" i="4"/>
  <c r="G140" i="4"/>
  <c r="G136" i="4"/>
  <c r="G150" i="4"/>
  <c r="G145" i="4"/>
  <c r="G139" i="4"/>
  <c r="G134" i="4"/>
  <c r="G149" i="4"/>
  <c r="G143" i="4"/>
  <c r="G138" i="4"/>
  <c r="G133" i="4"/>
  <c r="G147" i="4"/>
  <c r="G142" i="4"/>
  <c r="G137" i="4"/>
  <c r="G132" i="4"/>
  <c r="G151" i="4"/>
  <c r="G146" i="4"/>
  <c r="G141" i="4"/>
  <c r="G135" i="4"/>
  <c r="G315" i="4"/>
  <c r="H361" i="4" a="1"/>
  <c r="H361" i="4" s="1"/>
  <c r="G294" i="4" s="1"/>
  <c r="I21" i="4"/>
  <c r="G109" i="4"/>
  <c r="E150" i="4"/>
  <c r="E146" i="4"/>
  <c r="E142" i="4"/>
  <c r="E138" i="4"/>
  <c r="E134" i="4"/>
  <c r="E149" i="4"/>
  <c r="E144" i="4"/>
  <c r="E139" i="4"/>
  <c r="E133" i="4"/>
  <c r="E148" i="4"/>
  <c r="E143" i="4"/>
  <c r="E137" i="4"/>
  <c r="E147" i="4"/>
  <c r="E141" i="4"/>
  <c r="E136" i="4"/>
  <c r="E132" i="4"/>
  <c r="E151" i="4"/>
  <c r="E145" i="4"/>
  <c r="E140" i="4"/>
  <c r="E135" i="4"/>
  <c r="G162" i="4"/>
  <c r="G158" i="4"/>
  <c r="G164" i="4"/>
  <c r="G159" i="4"/>
  <c r="G163" i="4"/>
  <c r="G157" i="4"/>
  <c r="G161" i="4"/>
  <c r="G160" i="4"/>
  <c r="G156" i="4"/>
  <c r="G152" i="4"/>
  <c r="E200" i="4"/>
  <c r="E196" i="4"/>
  <c r="E199" i="4"/>
  <c r="E195" i="4"/>
  <c r="E192" i="4"/>
  <c r="E202" i="4"/>
  <c r="E198" i="4"/>
  <c r="E194" i="4"/>
  <c r="E201" i="4"/>
  <c r="E197" i="4"/>
  <c r="E193" i="4"/>
  <c r="G241" i="4"/>
  <c r="E313" i="4"/>
  <c r="E309" i="4"/>
  <c r="E305" i="4"/>
  <c r="E301" i="4"/>
  <c r="E298" i="4"/>
  <c r="E312" i="4"/>
  <c r="E307" i="4"/>
  <c r="E302" i="4"/>
  <c r="E310" i="4"/>
  <c r="E304" i="4"/>
  <c r="E299" i="4"/>
  <c r="E306" i="4"/>
  <c r="E314" i="4"/>
  <c r="E303" i="4"/>
  <c r="E311" i="4"/>
  <c r="E300" i="4"/>
  <c r="E308" i="4"/>
  <c r="I313" i="4"/>
  <c r="I309" i="4"/>
  <c r="I305" i="4"/>
  <c r="I301" i="4"/>
  <c r="I298" i="4"/>
  <c r="I311" i="4"/>
  <c r="I306" i="4"/>
  <c r="I300" i="4"/>
  <c r="I314" i="4"/>
  <c r="I308" i="4"/>
  <c r="I303" i="4"/>
  <c r="I312" i="4"/>
  <c r="I302" i="4"/>
  <c r="I310" i="4"/>
  <c r="I299" i="4"/>
  <c r="I307" i="4"/>
  <c r="I304" i="4"/>
  <c r="E358" i="4"/>
  <c r="E354" i="4"/>
  <c r="E351" i="4"/>
  <c r="E356" i="4"/>
  <c r="E352" i="4"/>
  <c r="E359" i="4"/>
  <c r="E355" i="4"/>
  <c r="E357" i="4"/>
  <c r="E353" i="4"/>
  <c r="I29" i="4"/>
  <c r="I32" i="4"/>
  <c r="I28" i="4"/>
  <c r="I25" i="4"/>
  <c r="I31" i="4"/>
  <c r="I27" i="4"/>
  <c r="I30" i="4"/>
  <c r="I26" i="4"/>
  <c r="E29" i="4"/>
  <c r="E32" i="4"/>
  <c r="E28" i="4"/>
  <c r="E25" i="4"/>
  <c r="E31" i="4"/>
  <c r="E27" i="4"/>
  <c r="E30" i="4"/>
  <c r="E26" i="4"/>
  <c r="G108" i="4"/>
  <c r="G104" i="4"/>
  <c r="G100" i="4"/>
  <c r="G106" i="4"/>
  <c r="G102" i="4"/>
  <c r="G98" i="4"/>
  <c r="G105" i="4"/>
  <c r="G101" i="4"/>
  <c r="G97" i="4"/>
  <c r="G103" i="4"/>
  <c r="G99" i="4"/>
  <c r="G96" i="4"/>
  <c r="G107" i="4"/>
  <c r="E128" i="4"/>
  <c r="G334" i="4"/>
  <c r="G330" i="4"/>
  <c r="G326" i="4"/>
  <c r="G322" i="4"/>
  <c r="G319" i="4"/>
  <c r="G329" i="4"/>
  <c r="G324" i="4"/>
  <c r="G332" i="4"/>
  <c r="G327" i="4"/>
  <c r="G321" i="4"/>
  <c r="G333" i="4"/>
  <c r="G323" i="4"/>
  <c r="G331" i="4"/>
  <c r="G320" i="4"/>
  <c r="G328" i="4"/>
  <c r="G325" i="4"/>
  <c r="I332" i="4"/>
  <c r="I328" i="4"/>
  <c r="I324" i="4"/>
  <c r="I320" i="4"/>
  <c r="I333" i="4"/>
  <c r="I327" i="4"/>
  <c r="I322" i="4"/>
  <c r="I330" i="4"/>
  <c r="I325" i="4"/>
  <c r="I331" i="4"/>
  <c r="I321" i="4"/>
  <c r="I329" i="4"/>
  <c r="I319" i="4"/>
  <c r="I326" i="4"/>
  <c r="I334" i="4"/>
  <c r="I323" i="4"/>
  <c r="G360" i="4"/>
  <c r="G22" i="3"/>
  <c r="G18" i="3"/>
  <c r="G14" i="3"/>
  <c r="G10" i="3"/>
  <c r="G24" i="3"/>
  <c r="G20" i="3"/>
  <c r="G16" i="3"/>
  <c r="G12" i="3"/>
  <c r="G8" i="3"/>
  <c r="G25" i="3"/>
  <c r="G17" i="3"/>
  <c r="G9" i="3"/>
  <c r="G21" i="3"/>
  <c r="G13" i="3"/>
  <c r="G6" i="3"/>
  <c r="G19" i="3"/>
  <c r="G11" i="3"/>
  <c r="G23" i="3"/>
  <c r="G15" i="3"/>
  <c r="G7" i="3"/>
  <c r="G31" i="4"/>
  <c r="G27" i="4"/>
  <c r="G30" i="4"/>
  <c r="G26" i="4"/>
  <c r="G29" i="4"/>
  <c r="G32" i="4"/>
  <c r="G28" i="4"/>
  <c r="G25" i="4"/>
  <c r="G186" i="4"/>
  <c r="G182" i="4"/>
  <c r="G178" i="4"/>
  <c r="G185" i="4"/>
  <c r="G181" i="4"/>
  <c r="G184" i="4"/>
  <c r="G180" i="4"/>
  <c r="G177" i="4"/>
  <c r="G187" i="4"/>
  <c r="G183" i="4"/>
  <c r="G179" i="4"/>
  <c r="D361" i="4" a="1"/>
  <c r="D361" i="4" s="1"/>
  <c r="E21" i="4"/>
  <c r="E237" i="4"/>
  <c r="E233" i="4"/>
  <c r="E229" i="4"/>
  <c r="E240" i="4"/>
  <c r="E236" i="4"/>
  <c r="E232" i="4"/>
  <c r="E234" i="4"/>
  <c r="E239" i="4"/>
  <c r="E231" i="4"/>
  <c r="E238" i="4"/>
  <c r="E230" i="4"/>
  <c r="E235" i="4"/>
  <c r="E228" i="4"/>
  <c r="E26" i="3"/>
  <c r="I26" i="3"/>
  <c r="G126" i="4"/>
  <c r="G122" i="4"/>
  <c r="G118" i="4"/>
  <c r="G114" i="4"/>
  <c r="G125" i="4"/>
  <c r="G121" i="4"/>
  <c r="G117" i="4"/>
  <c r="G124" i="4"/>
  <c r="G120" i="4"/>
  <c r="G116" i="4"/>
  <c r="G113" i="4"/>
  <c r="G127" i="4"/>
  <c r="G123" i="4"/>
  <c r="G119" i="4"/>
  <c r="G115" i="4"/>
  <c r="G224" i="4"/>
  <c r="E188" i="4"/>
  <c r="I361" i="4" l="1"/>
  <c r="E361" i="4"/>
</calcChain>
</file>

<file path=xl/sharedStrings.xml><?xml version="1.0" encoding="utf-8"?>
<sst xmlns="http://schemas.openxmlformats.org/spreadsheetml/2006/main" count="941" uniqueCount="610">
  <si>
    <t>IDEM</t>
  </si>
  <si>
    <t>KODE</t>
  </si>
  <si>
    <t>WILAYAH</t>
  </si>
  <si>
    <t>L</t>
  </si>
  <si>
    <t>P</t>
  </si>
  <si>
    <t>JML</t>
  </si>
  <si>
    <t>33.04</t>
  </si>
  <si>
    <t>BANJARNEGARA</t>
  </si>
  <si>
    <t>33.04.01</t>
  </si>
  <si>
    <t>SUSUKAN</t>
  </si>
  <si>
    <t>33.04.01.2001</t>
  </si>
  <si>
    <t>BERTA</t>
  </si>
  <si>
    <t>33.04.01.2002</t>
  </si>
  <si>
    <t>DERIK</t>
  </si>
  <si>
    <t>33.04.01.2003</t>
  </si>
  <si>
    <t>GUMELEM WETAN</t>
  </si>
  <si>
    <t>33.04.01.2004</t>
  </si>
  <si>
    <t>GUMELEM KULON</t>
  </si>
  <si>
    <t>33.04.01.2005</t>
  </si>
  <si>
    <t>PENARUSAN WETAN</t>
  </si>
  <si>
    <t>33.04.01.2006</t>
  </si>
  <si>
    <t>PENARUSAN KULON</t>
  </si>
  <si>
    <t>33.04.01.2007</t>
  </si>
  <si>
    <t>BRENGKOK</t>
  </si>
  <si>
    <t>33.04.01.2008</t>
  </si>
  <si>
    <t>PEKIKIRAN</t>
  </si>
  <si>
    <t>33.04.01.2009</t>
  </si>
  <si>
    <t>PIASA WETAN</t>
  </si>
  <si>
    <t>33.04.01.2010</t>
  </si>
  <si>
    <t>KARANGSALAM</t>
  </si>
  <si>
    <t>33.04.01.2011</t>
  </si>
  <si>
    <t>KEMRANGGON</t>
  </si>
  <si>
    <t>33.04.01.2012</t>
  </si>
  <si>
    <t>33.04.01.2013</t>
  </si>
  <si>
    <t>DERMASARI</t>
  </si>
  <si>
    <t>33.04.01.2014</t>
  </si>
  <si>
    <t>KEDAWUNG</t>
  </si>
  <si>
    <t>33.04.01.2015</t>
  </si>
  <si>
    <t>KARANGJATI</t>
  </si>
  <si>
    <t>33.04.02</t>
  </si>
  <si>
    <t>PURWOREJA KLAMPOK</t>
  </si>
  <si>
    <t>33.04.02.2001</t>
  </si>
  <si>
    <t>SIRKANDI</t>
  </si>
  <si>
    <t>33.04.02.2002</t>
  </si>
  <si>
    <t>PAGAK</t>
  </si>
  <si>
    <t>33.04.02.2003</t>
  </si>
  <si>
    <t>KECITRAN</t>
  </si>
  <si>
    <t>33.04.02.2004</t>
  </si>
  <si>
    <t>PURWAREJA</t>
  </si>
  <si>
    <t>33.04.02.2005</t>
  </si>
  <si>
    <t>KLAMPOK</t>
  </si>
  <si>
    <t>33.04.02.2006</t>
  </si>
  <si>
    <t>KALILANDAK</t>
  </si>
  <si>
    <t>33.04.02.2007</t>
  </si>
  <si>
    <t>KALIMANDI</t>
  </si>
  <si>
    <t>33.04.02.2008</t>
  </si>
  <si>
    <t>KALIWINASUH</t>
  </si>
  <si>
    <t>33.04.03</t>
  </si>
  <si>
    <t>MANDIRAJA</t>
  </si>
  <si>
    <t>33.04.03.2001</t>
  </si>
  <si>
    <t>JALATUNDA</t>
  </si>
  <si>
    <t>33.04.03.2002</t>
  </si>
  <si>
    <t>SOMAWANGI</t>
  </si>
  <si>
    <t>33.04.03.2003</t>
  </si>
  <si>
    <t>KALIWUNGU</t>
  </si>
  <si>
    <t>33.04.03.2004</t>
  </si>
  <si>
    <t>KEBANARAN</t>
  </si>
  <si>
    <t>33.04.03.2005</t>
  </si>
  <si>
    <t>GLEMPANG</t>
  </si>
  <si>
    <t>33.04.03.2006</t>
  </si>
  <si>
    <t>SALAMERTA</t>
  </si>
  <si>
    <t>33.04.03.2007</t>
  </si>
  <si>
    <t>PURWASABA</t>
  </si>
  <si>
    <t>33.04.03.2008</t>
  </si>
  <si>
    <t>BLIMBING</t>
  </si>
  <si>
    <t>33.04.03.2009</t>
  </si>
  <si>
    <t>PANGGISARI</t>
  </si>
  <si>
    <t>33.04.03.2010</t>
  </si>
  <si>
    <t>CANDIWULAN</t>
  </si>
  <si>
    <t>33.04.03.2011</t>
  </si>
  <si>
    <t>SIMBANG</t>
  </si>
  <si>
    <t>33.04.03.2012</t>
  </si>
  <si>
    <t>KERTAYASA</t>
  </si>
  <si>
    <t>33.04.03.2013</t>
  </si>
  <si>
    <t>BANJENGAN</t>
  </si>
  <si>
    <t>33.04.03.2014</t>
  </si>
  <si>
    <t>MANDIRAJA KULON</t>
  </si>
  <si>
    <t>33.04.03.2015</t>
  </si>
  <si>
    <t>KEBAKALAN</t>
  </si>
  <si>
    <t>33.04.03.2016</t>
  </si>
  <si>
    <t>MANDIRAJA WETAN</t>
  </si>
  <si>
    <t>33.04.04</t>
  </si>
  <si>
    <t>PURWANEGARA</t>
  </si>
  <si>
    <t>33.04.04.2001</t>
  </si>
  <si>
    <t>KALITENGAH</t>
  </si>
  <si>
    <t>33.04.04.2002</t>
  </si>
  <si>
    <t>MERDEN</t>
  </si>
  <si>
    <t>33.04.04.2003</t>
  </si>
  <si>
    <t>KARANGANYAR</t>
  </si>
  <si>
    <t>33.04.04.2004</t>
  </si>
  <si>
    <t>KALIAJIR</t>
  </si>
  <si>
    <t>33.04.04.2005</t>
  </si>
  <si>
    <t>PETIR</t>
  </si>
  <si>
    <t>33.04.04.2006</t>
  </si>
  <si>
    <t>PUCUNGBEDUG</t>
  </si>
  <si>
    <t>33.04.04.2007</t>
  </si>
  <si>
    <t>PARAKAN</t>
  </si>
  <si>
    <t>33.04.04.2008</t>
  </si>
  <si>
    <t>MERTASARI</t>
  </si>
  <si>
    <t>33.04.04.2009</t>
  </si>
  <si>
    <t>DANARAJA</t>
  </si>
  <si>
    <t>33.04.04.2010</t>
  </si>
  <si>
    <t>PURWONEGORO</t>
  </si>
  <si>
    <t>33.04.04.2011</t>
  </si>
  <si>
    <t>KALIPELUS</t>
  </si>
  <si>
    <t>33.04.04.2012</t>
  </si>
  <si>
    <t>GUMIWANG</t>
  </si>
  <si>
    <t>33.04.04.2013</t>
  </si>
  <si>
    <t>KUTAWULUH</t>
  </si>
  <si>
    <t>33.04.05</t>
  </si>
  <si>
    <t>BAWANG</t>
  </si>
  <si>
    <t>33.04.05.2001</t>
  </si>
  <si>
    <t>WANADRI</t>
  </si>
  <si>
    <t>33.04.05.2002</t>
  </si>
  <si>
    <t>KEBONDALEM</t>
  </si>
  <si>
    <t>33.04.05.2003</t>
  </si>
  <si>
    <t>MAJALENGKA</t>
  </si>
  <si>
    <t>33.04.05.2004</t>
  </si>
  <si>
    <t>WIRAMASTRA</t>
  </si>
  <si>
    <t>33.04.05.2005</t>
  </si>
  <si>
    <t>KUTAYASA</t>
  </si>
  <si>
    <t>33.04.05.2006</t>
  </si>
  <si>
    <t>WINONG</t>
  </si>
  <si>
    <t>33.04.05.2007</t>
  </si>
  <si>
    <t>DEPOK</t>
  </si>
  <si>
    <t>33.04.05.2008</t>
  </si>
  <si>
    <t>WATUURIP</t>
  </si>
  <si>
    <t>33.04.05.2009</t>
  </si>
  <si>
    <t>MASARAN</t>
  </si>
  <si>
    <t>33.04.05.2010</t>
  </si>
  <si>
    <t>SERANG</t>
  </si>
  <si>
    <t>33.04.05.2011</t>
  </si>
  <si>
    <t>MANTRIANOM</t>
  </si>
  <si>
    <t>33.04.05.2012</t>
  </si>
  <si>
    <t>BINORONG</t>
  </si>
  <si>
    <t>33.04.05.2013</t>
  </si>
  <si>
    <t>JOHO</t>
  </si>
  <si>
    <t>33.04.05.2014</t>
  </si>
  <si>
    <t>33.04.05.2015</t>
  </si>
  <si>
    <t>BANDINGAN</t>
  </si>
  <si>
    <t>33.04.05.2016</t>
  </si>
  <si>
    <t>BLAMBANGAN</t>
  </si>
  <si>
    <t>33.04.05.2017</t>
  </si>
  <si>
    <t>GEMURUH</t>
  </si>
  <si>
    <t>33.04.05.2018</t>
  </si>
  <si>
    <t>PUCANG</t>
  </si>
  <si>
    <t>33.04.06</t>
  </si>
  <si>
    <t>33.04.06.1001</t>
  </si>
  <si>
    <t>ARGASOKA</t>
  </si>
  <si>
    <t>33.04.06.1006</t>
  </si>
  <si>
    <t>KARANGTENGAH</t>
  </si>
  <si>
    <t>33.04.06.1007</t>
  </si>
  <si>
    <t>WANGON</t>
  </si>
  <si>
    <t>33.04.06.1008</t>
  </si>
  <si>
    <t>SEMAMPIR</t>
  </si>
  <si>
    <t>33.04.06.1009</t>
  </si>
  <si>
    <t>SOKANANDI</t>
  </si>
  <si>
    <t>33.04.06.1010</t>
  </si>
  <si>
    <t>PARAKANCANGGAH</t>
  </si>
  <si>
    <t>33.04.06.1011</t>
  </si>
  <si>
    <t>SEMARANG</t>
  </si>
  <si>
    <t>33.04.06.1012</t>
  </si>
  <si>
    <t>KRANDEGAN</t>
  </si>
  <si>
    <t>33.04.06.1013</t>
  </si>
  <si>
    <t>KUTABANJARNEGARA</t>
  </si>
  <si>
    <t>33.04.06.2002</t>
  </si>
  <si>
    <t>AMPELSARI</t>
  </si>
  <si>
    <t>33.04.06.2003</t>
  </si>
  <si>
    <t>TLAGAWERA</t>
  </si>
  <si>
    <t>33.04.06.2004</t>
  </si>
  <si>
    <t>CENDANA</t>
  </si>
  <si>
    <t>33.04.06.2005</t>
  </si>
  <si>
    <t>SOKAYASA</t>
  </si>
  <si>
    <t>33.04.07</t>
  </si>
  <si>
    <t>SIGALUH</t>
  </si>
  <si>
    <t>33.04.07.1015</t>
  </si>
  <si>
    <t>KALIBENDA</t>
  </si>
  <si>
    <t>33.04.07.2001</t>
  </si>
  <si>
    <t>PRINGAMBA</t>
  </si>
  <si>
    <t>33.04.07.2002</t>
  </si>
  <si>
    <t>SAWAL</t>
  </si>
  <si>
    <t>33.04.07.2003</t>
  </si>
  <si>
    <t>PANAWAREN</t>
  </si>
  <si>
    <t>33.04.07.2004</t>
  </si>
  <si>
    <t>TUNGGARA</t>
  </si>
  <si>
    <t>33.04.07.2005</t>
  </si>
  <si>
    <t>RANDEGAN</t>
  </si>
  <si>
    <t>33.04.07.2006</t>
  </si>
  <si>
    <t>BOJANEGARA</t>
  </si>
  <si>
    <t>33.04.07.2007</t>
  </si>
  <si>
    <t>33.04.07.2008</t>
  </si>
  <si>
    <t>PRIGI</t>
  </si>
  <si>
    <t>33.04.07.2009</t>
  </si>
  <si>
    <t>GEMBONGAN</t>
  </si>
  <si>
    <t>33.04.07.2010</t>
  </si>
  <si>
    <t>KEMIRI</t>
  </si>
  <si>
    <t>33.04.07.2011</t>
  </si>
  <si>
    <t>KARANGMANGU</t>
  </si>
  <si>
    <t>33.04.07.2012</t>
  </si>
  <si>
    <t>WANACIPTA</t>
  </si>
  <si>
    <t>33.04.07.2013</t>
  </si>
  <si>
    <t>33.04.07.2014</t>
  </si>
  <si>
    <t>SINGAMERTA</t>
  </si>
  <si>
    <t>33.04.08</t>
  </si>
  <si>
    <t>MADUKARA</t>
  </si>
  <si>
    <t>33.04.08.1011</t>
  </si>
  <si>
    <t>KENTENG</t>
  </si>
  <si>
    <t>33.04.08.1012</t>
  </si>
  <si>
    <t>REJASA</t>
  </si>
  <si>
    <t>33.04.08.2001</t>
  </si>
  <si>
    <t>LIMBANGAN</t>
  </si>
  <si>
    <t>33.04.08.2002</t>
  </si>
  <si>
    <t>PENAWANGAN</t>
  </si>
  <si>
    <t>33.04.08.2003</t>
  </si>
  <si>
    <t>TALUNAMBA</t>
  </si>
  <si>
    <t>33.04.08.2004</t>
  </si>
  <si>
    <t>33.04.08.2005</t>
  </si>
  <si>
    <t>33.04.08.2006</t>
  </si>
  <si>
    <t>PEKAUMAN</t>
  </si>
  <si>
    <t>33.04.08.2007</t>
  </si>
  <si>
    <t>PAGELAK</t>
  </si>
  <si>
    <t>33.04.08.2008</t>
  </si>
  <si>
    <t>DAWUHAN</t>
  </si>
  <si>
    <t>33.04.08.2009</t>
  </si>
  <si>
    <t>BANTARWARU</t>
  </si>
  <si>
    <t>33.04.08.2010</t>
  </si>
  <si>
    <t>SERED</t>
  </si>
  <si>
    <t>33.04.08.2013</t>
  </si>
  <si>
    <t>PETAMBAKAN</t>
  </si>
  <si>
    <t>33.04.08.2014</t>
  </si>
  <si>
    <t>RAKITAN</t>
  </si>
  <si>
    <t>33.04.08.2015</t>
  </si>
  <si>
    <t>BLITAR</t>
  </si>
  <si>
    <t>33.04.08.2016</t>
  </si>
  <si>
    <t>KALIURIP</t>
  </si>
  <si>
    <t>33.04.08.2017</t>
  </si>
  <si>
    <t>33.04.08.2018</t>
  </si>
  <si>
    <t>GUNUNGGIANA</t>
  </si>
  <si>
    <t>33.04.08.2019</t>
  </si>
  <si>
    <t>CLAPAR</t>
  </si>
  <si>
    <t>33.04.08.2020</t>
  </si>
  <si>
    <t>PAKELEN</t>
  </si>
  <si>
    <t>33.04.09</t>
  </si>
  <si>
    <t>BANJARMANGU</t>
  </si>
  <si>
    <t>33.04.09.2001</t>
  </si>
  <si>
    <t>JENGGAWUR</t>
  </si>
  <si>
    <t>33.04.09.2002</t>
  </si>
  <si>
    <t>BANJARKULON</t>
  </si>
  <si>
    <t>33.04.09.2003</t>
  </si>
  <si>
    <t>33.04.09.2004</t>
  </si>
  <si>
    <t>REJASARI</t>
  </si>
  <si>
    <t>33.04.09.2005</t>
  </si>
  <si>
    <t>KESENET</t>
  </si>
  <si>
    <t>33.04.09.2006</t>
  </si>
  <si>
    <t>KALILUNJAR</t>
  </si>
  <si>
    <t>33.04.09.2007</t>
  </si>
  <si>
    <t>SIJERUK</t>
  </si>
  <si>
    <t>33.04.09.2008</t>
  </si>
  <si>
    <t>KENDAGA</t>
  </si>
  <si>
    <t>33.04.09.2009</t>
  </si>
  <si>
    <t>GRIPIT</t>
  </si>
  <si>
    <t>33.04.09.2010</t>
  </si>
  <si>
    <t>PEKANDANGAN</t>
  </si>
  <si>
    <t>33.04.09.2011</t>
  </si>
  <si>
    <t>SIGEBLOG</t>
  </si>
  <si>
    <t>33.04.09.2012</t>
  </si>
  <si>
    <t>PASEH</t>
  </si>
  <si>
    <t>33.04.09.2013</t>
  </si>
  <si>
    <t>SIPEDANG</t>
  </si>
  <si>
    <t>33.04.09.2014</t>
  </si>
  <si>
    <t>SIJENGGUNG</t>
  </si>
  <si>
    <t>33.04.09.2015</t>
  </si>
  <si>
    <t>BEJI</t>
  </si>
  <si>
    <t>33.04.09.2016</t>
  </si>
  <si>
    <t>PRENDENGAN</t>
  </si>
  <si>
    <t>33.04.09.2017</t>
  </si>
  <si>
    <t>MAJATENGAH</t>
  </si>
  <si>
    <t>33.04.10</t>
  </si>
  <si>
    <t>WANADADI</t>
  </si>
  <si>
    <t>33.04.10.2001</t>
  </si>
  <si>
    <t>KASILIB</t>
  </si>
  <si>
    <t>33.04.10.2002</t>
  </si>
  <si>
    <t>TAPEN</t>
  </si>
  <si>
    <t>33.04.10.2003</t>
  </si>
  <si>
    <t>KARANGJAMBE</t>
  </si>
  <si>
    <t>33.04.10.2004</t>
  </si>
  <si>
    <t>33.04.10.2005</t>
  </si>
  <si>
    <t>WANAKARSA</t>
  </si>
  <si>
    <t>33.04.10.2006</t>
  </si>
  <si>
    <t>LEMAHJAYA</t>
  </si>
  <si>
    <t>33.04.10.2007</t>
  </si>
  <si>
    <t>KARANGKEMIRI</t>
  </si>
  <si>
    <t>33.04.10.2008</t>
  </si>
  <si>
    <t>KANDANGWANGI</t>
  </si>
  <si>
    <t>33.04.10.2009</t>
  </si>
  <si>
    <t>MEDAYU</t>
  </si>
  <si>
    <t>33.04.10.2010</t>
  </si>
  <si>
    <t>LINGGASARI</t>
  </si>
  <si>
    <t>33.04.10.2011</t>
  </si>
  <si>
    <t>GUMINGSIR</t>
  </si>
  <si>
    <t>33.04.11</t>
  </si>
  <si>
    <t>RAKIT</t>
  </si>
  <si>
    <t>33.04.11.2001</t>
  </si>
  <si>
    <t>PINGIT</t>
  </si>
  <si>
    <t>33.04.11.2002</t>
  </si>
  <si>
    <t>SITUWANGI</t>
  </si>
  <si>
    <t>33.04.11.2003</t>
  </si>
  <si>
    <t>GELANG</t>
  </si>
  <si>
    <t>33.04.11.2004</t>
  </si>
  <si>
    <t>33.04.11.2005</t>
  </si>
  <si>
    <t>ADIPASIR</t>
  </si>
  <si>
    <t>33.04.11.2006</t>
  </si>
  <si>
    <t>33.04.11.2007</t>
  </si>
  <si>
    <t>KINCANG</t>
  </si>
  <si>
    <t>33.04.11.2008</t>
  </si>
  <si>
    <t>BADAMITA</t>
  </si>
  <si>
    <t>33.04.11.2009</t>
  </si>
  <si>
    <t>TANJUNGANOM</t>
  </si>
  <si>
    <t>33.04.11.2010</t>
  </si>
  <si>
    <t>LUWUNG</t>
  </si>
  <si>
    <t>33.04.11.2011</t>
  </si>
  <si>
    <t>LENGKONG</t>
  </si>
  <si>
    <t>33.04.12</t>
  </si>
  <si>
    <t>PUNGGELAN</t>
  </si>
  <si>
    <t>33.04.12.2001</t>
  </si>
  <si>
    <t>SAMBONG</t>
  </si>
  <si>
    <t>33.04.12.2002</t>
  </si>
  <si>
    <t>DANAKERTA</t>
  </si>
  <si>
    <t>33.04.12.2003</t>
  </si>
  <si>
    <t>KLAPA</t>
  </si>
  <si>
    <t>33.04.12.2004</t>
  </si>
  <si>
    <t>KECEPIT</t>
  </si>
  <si>
    <t>33.04.12.2005</t>
  </si>
  <si>
    <t>KARANGSARI</t>
  </si>
  <si>
    <t>33.04.12.2006</t>
  </si>
  <si>
    <t>TRIBUANA</t>
  </si>
  <si>
    <t>33.04.12.2007</t>
  </si>
  <si>
    <t>SAWANGAN</t>
  </si>
  <si>
    <t>33.04.12.2008</t>
  </si>
  <si>
    <t>SIDARATA</t>
  </si>
  <si>
    <t>33.04.12.2009</t>
  </si>
  <si>
    <t>BADAKARYA</t>
  </si>
  <si>
    <t>33.04.12.2010</t>
  </si>
  <si>
    <t>33.04.12.2011</t>
  </si>
  <si>
    <t>JEMBANGAN</t>
  </si>
  <si>
    <t>33.04.12.2012</t>
  </si>
  <si>
    <t>PURWASANA</t>
  </si>
  <si>
    <t>33.04.12.2013</t>
  </si>
  <si>
    <t>PETUGURAN</t>
  </si>
  <si>
    <t>33.04.12.2014</t>
  </si>
  <si>
    <t>BONDOLHARJO</t>
  </si>
  <si>
    <t>33.04.12.2015</t>
  </si>
  <si>
    <t>TANJUNGTIRTA</t>
  </si>
  <si>
    <t>33.04.12.2016</t>
  </si>
  <si>
    <t>TLAGA</t>
  </si>
  <si>
    <t>33.04.12.2017</t>
  </si>
  <si>
    <t>MLAYA</t>
  </si>
  <si>
    <t>33.04.13</t>
  </si>
  <si>
    <t>KARANGKOBAR</t>
  </si>
  <si>
    <t>33.04.13.2001</t>
  </si>
  <si>
    <t>PAWEDEN</t>
  </si>
  <si>
    <t>33.04.13.2002</t>
  </si>
  <si>
    <t>GUMELAR</t>
  </si>
  <si>
    <t>33.04.13.2003</t>
  </si>
  <si>
    <t>PURWODADI</t>
  </si>
  <si>
    <t>33.04.13.2004</t>
  </si>
  <si>
    <t>SAMPANG</t>
  </si>
  <si>
    <t>33.04.13.2005</t>
  </si>
  <si>
    <t>SLATRI</t>
  </si>
  <si>
    <t>33.04.13.2006</t>
  </si>
  <si>
    <t>PAGERPELAH</t>
  </si>
  <si>
    <t>33.04.13.2007</t>
  </si>
  <si>
    <t>PASURUHAN</t>
  </si>
  <si>
    <t>33.04.13.2008</t>
  </si>
  <si>
    <t>KARANGGONDANG</t>
  </si>
  <si>
    <t>33.04.13.2009</t>
  </si>
  <si>
    <t>JLEGONG</t>
  </si>
  <si>
    <t>33.04.13.2010</t>
  </si>
  <si>
    <t>AMBAL</t>
  </si>
  <si>
    <t>33.04.13.2011</t>
  </si>
  <si>
    <t>BINANGUN</t>
  </si>
  <si>
    <t>33.04.13.2012</t>
  </si>
  <si>
    <t>33.04.13.2013</t>
  </si>
  <si>
    <t>LEKSANA</t>
  </si>
  <si>
    <t>33.04.14</t>
  </si>
  <si>
    <t>PAGENTAN</t>
  </si>
  <si>
    <t>33.04.14.2001</t>
  </si>
  <si>
    <t>LARANGAN</t>
  </si>
  <si>
    <t>33.04.14.2002</t>
  </si>
  <si>
    <t>KARANGNANGKA</t>
  </si>
  <si>
    <t>33.04.14.2003</t>
  </si>
  <si>
    <t>ARIBAYA</t>
  </si>
  <si>
    <t>33.04.14.2004</t>
  </si>
  <si>
    <t>NAGASARI</t>
  </si>
  <si>
    <t>33.04.14.2005</t>
  </si>
  <si>
    <t>33.04.14.2006</t>
  </si>
  <si>
    <t>SOKARAJA</t>
  </si>
  <si>
    <t>33.04.14.2007</t>
  </si>
  <si>
    <t>KAYUARES</t>
  </si>
  <si>
    <t>33.04.14.2008</t>
  </si>
  <si>
    <t>METAWANA</t>
  </si>
  <si>
    <t>33.04.14.2009</t>
  </si>
  <si>
    <t>KALITLAGA</t>
  </si>
  <si>
    <t>33.04.14.2010</t>
  </si>
  <si>
    <t>KAREKAN</t>
  </si>
  <si>
    <t>33.04.14.2011</t>
  </si>
  <si>
    <t>PLUMBUNGAN</t>
  </si>
  <si>
    <t>33.04.14.2012</t>
  </si>
  <si>
    <t>33.04.14.2013</t>
  </si>
  <si>
    <t>KASMARAN</t>
  </si>
  <si>
    <t>33.04.14.2014</t>
  </si>
  <si>
    <t>MAJASARI</t>
  </si>
  <si>
    <t>33.04.14.2015</t>
  </si>
  <si>
    <t>BABADAN</t>
  </si>
  <si>
    <t>33.04.14.2016</t>
  </si>
  <si>
    <t>TEGALJERUK</t>
  </si>
  <si>
    <t>33.04.15</t>
  </si>
  <si>
    <t>PEJAWARAN</t>
  </si>
  <si>
    <t>33.04.15.2001</t>
  </si>
  <si>
    <t>33.04.15.2002</t>
  </si>
  <si>
    <t>33.04.15.2003</t>
  </si>
  <si>
    <t>SARWODADI</t>
  </si>
  <si>
    <t>33.04.15.2004</t>
  </si>
  <si>
    <t>GROGOL</t>
  </si>
  <si>
    <t>33.04.15.2005</t>
  </si>
  <si>
    <t>GIRITIRTA</t>
  </si>
  <si>
    <t>33.04.15.2006</t>
  </si>
  <si>
    <t>BITING</t>
  </si>
  <si>
    <t>33.04.15.2007</t>
  </si>
  <si>
    <t>TLAHAB</t>
  </si>
  <si>
    <t>33.04.15.2008</t>
  </si>
  <si>
    <t>DARMAYASA</t>
  </si>
  <si>
    <t>33.04.15.2009</t>
  </si>
  <si>
    <t>33.04.15.2010</t>
  </si>
  <si>
    <t>PENUSUPAN</t>
  </si>
  <si>
    <t>33.04.15.2011</t>
  </si>
  <si>
    <t>RATAMBA</t>
  </si>
  <si>
    <t>33.04.15.2012</t>
  </si>
  <si>
    <t>SIDENGOK</t>
  </si>
  <si>
    <t>33.04.15.2013</t>
  </si>
  <si>
    <t>PEGUNDUNGAN</t>
  </si>
  <si>
    <t>33.04.15.2014</t>
  </si>
  <si>
    <t>33.04.15.2015</t>
  </si>
  <si>
    <t>SEMANGKUNG</t>
  </si>
  <si>
    <t>33.04.15.2016</t>
  </si>
  <si>
    <t>CONDONGCAMPUR</t>
  </si>
  <si>
    <t>33.04.15.2017</t>
  </si>
  <si>
    <t>GEMBOL</t>
  </si>
  <si>
    <t>33.04.16</t>
  </si>
  <si>
    <t>BATUR</t>
  </si>
  <si>
    <t>33.04.16.2001</t>
  </si>
  <si>
    <t>33.04.16.2002</t>
  </si>
  <si>
    <t>SUMBEREJO</t>
  </si>
  <si>
    <t>33.04.16.2003</t>
  </si>
  <si>
    <t>PASURENAN</t>
  </si>
  <si>
    <t>33.04.16.2004</t>
  </si>
  <si>
    <t>PEKASIRAN</t>
  </si>
  <si>
    <t>33.04.16.2005</t>
  </si>
  <si>
    <t>KEPAKISAN</t>
  </si>
  <si>
    <t>33.04.16.2006</t>
  </si>
  <si>
    <t>BAKAL</t>
  </si>
  <si>
    <t>33.04.16.2007</t>
  </si>
  <si>
    <t>33.04.16.2008</t>
  </si>
  <si>
    <t>DIENG KULON</t>
  </si>
  <si>
    <t>33.04.17</t>
  </si>
  <si>
    <t>WANAYASA</t>
  </si>
  <si>
    <t>33.04.17.2001</t>
  </si>
  <si>
    <t>33.04.17.2002</t>
  </si>
  <si>
    <t>SUWIDAK</t>
  </si>
  <si>
    <t>33.04.17.2003</t>
  </si>
  <si>
    <t>BANTAR</t>
  </si>
  <si>
    <t>33.04.17.2004</t>
  </si>
  <si>
    <t>PANDANSARI</t>
  </si>
  <si>
    <t>33.04.17.2005</t>
  </si>
  <si>
    <t>PAGERGUNUNG</t>
  </si>
  <si>
    <t>33.04.17.2006</t>
  </si>
  <si>
    <t>33.04.17.2007</t>
  </si>
  <si>
    <t>KUBANG</t>
  </si>
  <si>
    <t>33.04.17.2008</t>
  </si>
  <si>
    <t>33.04.17.2009</t>
  </si>
  <si>
    <t>33.04.17.2010</t>
  </si>
  <si>
    <t>PESANTREN</t>
  </si>
  <si>
    <t>33.04.17.2011</t>
  </si>
  <si>
    <t>BALUN</t>
  </si>
  <si>
    <t>33.04.17.2012</t>
  </si>
  <si>
    <t>TEMPURAN</t>
  </si>
  <si>
    <t>33.04.17.2013</t>
  </si>
  <si>
    <t>WANARAJA</t>
  </si>
  <si>
    <t>33.04.17.2014</t>
  </si>
  <si>
    <t>JATILAWANG</t>
  </si>
  <si>
    <t>33.04.17.2015</t>
  </si>
  <si>
    <t>LEGOKSAYEM</t>
  </si>
  <si>
    <t>33.04.17.2016</t>
  </si>
  <si>
    <t>KASIMPAR</t>
  </si>
  <si>
    <t>33.04.17.2017</t>
  </si>
  <si>
    <t>PENANGGUNGAN</t>
  </si>
  <si>
    <t>33.04.18</t>
  </si>
  <si>
    <t>KALIBENING</t>
  </si>
  <si>
    <t>33.04.18.2001</t>
  </si>
  <si>
    <t>33.04.18.2002</t>
  </si>
  <si>
    <t>ASINAN</t>
  </si>
  <si>
    <t>33.04.18.2003</t>
  </si>
  <si>
    <t>SEMBAWA</t>
  </si>
  <si>
    <t>33.04.18.2004</t>
  </si>
  <si>
    <t>KALIBOMBONG</t>
  </si>
  <si>
    <t>33.04.18.2005</t>
  </si>
  <si>
    <t>33.04.18.2006</t>
  </si>
  <si>
    <t>KALISAT KIDUL</t>
  </si>
  <si>
    <t>33.04.18.2007</t>
  </si>
  <si>
    <t>SIRUKEM</t>
  </si>
  <si>
    <t>33.04.18.2008</t>
  </si>
  <si>
    <t>KERTOSARI</t>
  </si>
  <si>
    <t>33.04.18.2009</t>
  </si>
  <si>
    <t>SIDAKANGEN</t>
  </si>
  <si>
    <t>33.04.18.2010</t>
  </si>
  <si>
    <t>SIKUMPUL</t>
  </si>
  <si>
    <t>33.04.18.2011</t>
  </si>
  <si>
    <t>GUNUNGLANGIT</t>
  </si>
  <si>
    <t>33.04.18.2012</t>
  </si>
  <si>
    <t>BEDANA</t>
  </si>
  <si>
    <t>33.04.18.2013</t>
  </si>
  <si>
    <t>SIRUKUN</t>
  </si>
  <si>
    <t>33.04.18.2014</t>
  </si>
  <si>
    <t>33.04.18.2015</t>
  </si>
  <si>
    <t>PLORENGAN</t>
  </si>
  <si>
    <t>33.04.18.2016</t>
  </si>
  <si>
    <t>KASINOMAN</t>
  </si>
  <si>
    <t>33.04.19</t>
  </si>
  <si>
    <t>PANDANARUM</t>
  </si>
  <si>
    <t>33.04.19.2001</t>
  </si>
  <si>
    <t>33.04.19.2002</t>
  </si>
  <si>
    <t>SINDUAJI</t>
  </si>
  <si>
    <t>33.04.19.2003</t>
  </si>
  <si>
    <t>PASEGERAN</t>
  </si>
  <si>
    <t>33.04.19.2004</t>
  </si>
  <si>
    <t>PINGIT LOR</t>
  </si>
  <si>
    <t>33.04.19.2005</t>
  </si>
  <si>
    <t>LAWEN</t>
  </si>
  <si>
    <t>33.04.19.2006</t>
  </si>
  <si>
    <t>SIRONGGE</t>
  </si>
  <si>
    <t>33.04.19.2007</t>
  </si>
  <si>
    <t>33.04.19.2008</t>
  </si>
  <si>
    <t>33.04.20</t>
  </si>
  <si>
    <t>PAGEDONGAN</t>
  </si>
  <si>
    <t>33.04.20.2001</t>
  </si>
  <si>
    <t>33.04.20.2002</t>
  </si>
  <si>
    <t>GUNUNGJATI</t>
  </si>
  <si>
    <t>33.04.20.2003</t>
  </si>
  <si>
    <t>TWELAGIRI</t>
  </si>
  <si>
    <t>33.04.20.2004</t>
  </si>
  <si>
    <t>KEBUTUHDUWUR</t>
  </si>
  <si>
    <t>33.04.20.2005</t>
  </si>
  <si>
    <t>KEBUTUHJURANG</t>
  </si>
  <si>
    <t>33.04.20.2006</t>
  </si>
  <si>
    <t>PESANGKALAN</t>
  </si>
  <si>
    <t>33.04.20.2007</t>
  </si>
  <si>
    <t>DUREN</t>
  </si>
  <si>
    <t>33.04.20.2008</t>
  </si>
  <si>
    <t>LEBAKWANGI</t>
  </si>
  <si>
    <t>33.04.20.2009</t>
  </si>
  <si>
    <t>GENTANSARI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</si>
  <si>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</si>
  <si>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</si>
  <si>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</si>
  <si>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</si>
  <si>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</si>
  <si>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</si>
  <si>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</si>
  <si>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</si>
  <si>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</si>
  <si>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</si>
  <si>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</si>
  <si>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</si>
  <si>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</si>
  <si>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</si>
  <si>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</si>
  <si>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`</t>
  </si>
  <si>
    <t>Agregat Penduduk per Desa/Kelurahan</t>
  </si>
  <si>
    <t>Kecamatan : 33.04.01 SUSUKAN</t>
  </si>
  <si>
    <t>Desa/Kelurahan</t>
  </si>
  <si>
    <t>Desa/Kel.</t>
  </si>
  <si>
    <t>Kecamatan : 33.04.02 PURWAREJA KLAMPOK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</si>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</sst>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indexed="64"/>
      <name val="Calibri"/>
    </font>
    <font>
      <b/>
      <sz val="11"/>
      <color indexed="64"/>
      <name val="Calibri"/>
    </font>
    <font>
      <b/>
      <sz val="11"/>
      <color theme="1"/>
      <name val="Calibri"/>
      <scheme val="minor"/>
    </font>
    <font>
      <b/>
      <sz val="11"/>
      <color indexed="64"/>
      <name val="Calibri"/>
      <scheme val="minor"/>
    </font>
    <font>
      <sz val="11"/>
      <color indexed="64"/>
      <name val="Calibri"/>
      <scheme val="minor"/>
    </font>
    <font>
      <sz val="10"/>
      <color indexed="64"/>
      <name val="Calibri"/>
      <scheme val="minor"/>
    </font>
    <font>
      <sz val="10.5"/>
      <color indexed="64"/>
      <name val="Calibri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73A7FD"/>
      </patternFill>
    </fill>
    <fill>
      <patternFill patternType="solid">
        <fgColor rgb="FFFFDA46"/>
      </patternFill>
    </fill>
    <fill>
      <patternFill patternType="solid">
        <fgColor rgb="FFBAD3FE"/>
      </patternFill>
    </fill>
    <fill>
      <patternFill patternType="solid">
        <fgColor rgb="FF8080FF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9" fontId="1" fillId="0" borderId="0" applyFont="0" applyFill="0" applyBorder="0" applyProtection="0"/>
  </cellStyleXfs>
  <cellXfs count="87">
    <xf numFmtId="0" fontId="0" fillId="0" borderId="0" xfId="0"/>
    <xf numFmtId="0" fontId="9" fillId="0" borderId="0" xfId="1"/>
    <xf numFmtId="0" fontId="0" fillId="0" borderId="0" xfId="0"/>
    <xf numFmtId="10" fontId="0" fillId="0" borderId="0" xfId="0" applyNumberFormat="1"/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10" fontId="0" fillId="5" borderId="6" xfId="0" applyNumberForma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0" fontId="0" fillId="6" borderId="6" xfId="0" applyNumberForma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righ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 wrapText="1"/>
    </xf>
    <xf numFmtId="3" fontId="0" fillId="0" borderId="7" xfId="0" applyNumberFormat="1" applyBorder="1"/>
    <xf numFmtId="2" fontId="0" fillId="2" borderId="6" xfId="0" applyNumberFormat="1" applyFill="1" applyBorder="1" applyAlignment="1">
      <alignment horizontal="right" vertical="center" wrapText="1"/>
    </xf>
    <xf numFmtId="3" fontId="0" fillId="0" borderId="8" xfId="0" applyNumberFormat="1" applyBorder="1"/>
    <xf numFmtId="3" fontId="0" fillId="7" borderId="6" xfId="0" applyNumberFormat="1" applyFill="1" applyBorder="1" applyAlignment="1">
      <alignment horizontal="right" vertical="center" wrapText="1"/>
    </xf>
    <xf numFmtId="1" fontId="0" fillId="2" borderId="6" xfId="0" applyNumberFormat="1" applyFill="1" applyBorder="1" applyAlignment="1">
      <alignment horizontal="right" vertical="center" wrapText="1"/>
    </xf>
    <xf numFmtId="3" fontId="3" fillId="5" borderId="6" xfId="0" applyNumberFormat="1" applyFont="1" applyFill="1" applyBorder="1" applyAlignment="1">
      <alignment horizontal="right" vertical="center" wrapText="1"/>
    </xf>
    <xf numFmtId="2" fontId="3" fillId="8" borderId="6" xfId="0" applyNumberFormat="1" applyFont="1" applyFill="1" applyBorder="1" applyAlignment="1">
      <alignment horizontal="right" vertical="center" wrapText="1"/>
    </xf>
    <xf numFmtId="3" fontId="3" fillId="6" borderId="6" xfId="0" applyNumberFormat="1" applyFont="1" applyFill="1" applyBorder="1" applyAlignment="1">
      <alignment horizontal="right" vertical="center" wrapText="1"/>
    </xf>
    <xf numFmtId="1" fontId="3" fillId="8" borderId="6" xfId="0" applyNumberFormat="1" applyFont="1" applyFill="1" applyBorder="1" applyAlignment="1">
      <alignment horizontal="right" vertical="center" wrapText="1"/>
    </xf>
    <xf numFmtId="0" fontId="1" fillId="0" borderId="0" xfId="2" applyFont="1"/>
    <xf numFmtId="0" fontId="1" fillId="0" borderId="0" xfId="2" applyFont="1" applyAlignment="1">
      <alignment horizontal="center"/>
    </xf>
    <xf numFmtId="0" fontId="6" fillId="4" borderId="6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3" fontId="6" fillId="0" borderId="6" xfId="2" applyNumberFormat="1" applyFont="1" applyBorder="1" applyAlignment="1">
      <alignment horizontal="right" vertical="center"/>
    </xf>
    <xf numFmtId="2" fontId="6" fillId="2" borderId="6" xfId="3" applyNumberFormat="1" applyFont="1" applyFill="1" applyBorder="1" applyAlignment="1">
      <alignment horizontal="right" vertical="center" wrapText="1"/>
    </xf>
    <xf numFmtId="3" fontId="6" fillId="7" borderId="6" xfId="2" applyNumberFormat="1" applyFont="1" applyFill="1" applyBorder="1" applyAlignment="1">
      <alignment horizontal="right" vertical="center"/>
    </xf>
    <xf numFmtId="1" fontId="6" fillId="2" borderId="6" xfId="3" applyNumberFormat="1" applyFont="1" applyFill="1" applyBorder="1" applyAlignment="1">
      <alignment horizontal="right" vertical="center" wrapText="1"/>
    </xf>
    <xf numFmtId="10" fontId="1" fillId="0" borderId="0" xfId="2" applyNumberFormat="1" applyFont="1"/>
    <xf numFmtId="0" fontId="6" fillId="2" borderId="6" xfId="2" applyFont="1" applyFill="1" applyBorder="1" applyAlignment="1">
      <alignment vertical="center" wrapText="1"/>
    </xf>
    <xf numFmtId="2" fontId="6" fillId="2" borderId="6" xfId="2" applyNumberFormat="1" applyFont="1" applyFill="1" applyBorder="1" applyAlignment="1">
      <alignment horizontal="right" vertical="center" wrapText="1"/>
    </xf>
    <xf numFmtId="1" fontId="6" fillId="2" borderId="6" xfId="2" applyNumberFormat="1" applyFont="1" applyFill="1" applyBorder="1" applyAlignment="1">
      <alignment horizontal="right" vertical="center" wrapText="1"/>
    </xf>
    <xf numFmtId="3" fontId="5" fillId="5" borderId="6" xfId="2" applyNumberFormat="1" applyFont="1" applyFill="1" applyBorder="1" applyAlignment="1">
      <alignment horizontal="right" vertical="center" wrapText="1"/>
    </xf>
    <xf numFmtId="2" fontId="5" fillId="7" borderId="6" xfId="2" applyNumberFormat="1" applyFont="1" applyFill="1" applyBorder="1" applyAlignment="1">
      <alignment horizontal="right" vertical="center" wrapText="1"/>
    </xf>
    <xf numFmtId="3" fontId="5" fillId="6" borderId="6" xfId="2" applyNumberFormat="1" applyFont="1" applyFill="1" applyBorder="1" applyAlignment="1">
      <alignment horizontal="right" vertical="center" wrapText="1"/>
    </xf>
    <xf numFmtId="1" fontId="5" fillId="7" borderId="6" xfId="2" applyNumberFormat="1" applyFont="1" applyFill="1" applyBorder="1" applyAlignment="1">
      <alignment horizontal="right" vertical="center" wrapText="1"/>
    </xf>
    <xf numFmtId="0" fontId="6" fillId="4" borderId="6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vertical="center"/>
    </xf>
    <xf numFmtId="0" fontId="7" fillId="2" borderId="6" xfId="2" applyFont="1" applyFill="1" applyBorder="1" applyAlignment="1">
      <alignment vertical="center"/>
    </xf>
    <xf numFmtId="0" fontId="6" fillId="0" borderId="6" xfId="2" applyFont="1" applyBorder="1" applyAlignment="1">
      <alignment horizontal="right" vertical="center"/>
    </xf>
    <xf numFmtId="3" fontId="5" fillId="7" borderId="6" xfId="2" applyNumberFormat="1" applyFont="1" applyFill="1" applyBorder="1" applyAlignment="1">
      <alignment horizontal="right" vertical="center"/>
    </xf>
    <xf numFmtId="2" fontId="5" fillId="8" borderId="6" xfId="2" applyNumberFormat="1" applyFont="1" applyFill="1" applyBorder="1" applyAlignment="1">
      <alignment horizontal="right" vertical="center"/>
    </xf>
    <xf numFmtId="1" fontId="5" fillId="8" borderId="6" xfId="2" applyNumberFormat="1" applyFont="1" applyFill="1" applyBorder="1" applyAlignment="1">
      <alignment horizontal="right" vertical="center"/>
    </xf>
    <xf numFmtId="0" fontId="1" fillId="0" borderId="0" xfId="2" applyFont="1" applyAlignment="1">
      <alignment vertical="center"/>
    </xf>
    <xf numFmtId="3" fontId="6" fillId="0" borderId="6" xfId="2" applyNumberFormat="1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8" fillId="2" borderId="6" xfId="2" applyFont="1" applyFill="1" applyBorder="1" applyAlignment="1">
      <alignment vertical="center"/>
    </xf>
    <xf numFmtId="2" fontId="6" fillId="2" borderId="6" xfId="2" applyNumberFormat="1" applyFont="1" applyFill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right" vertical="center"/>
    </xf>
    <xf numFmtId="3" fontId="5" fillId="5" borderId="6" xfId="2" applyNumberFormat="1" applyFont="1" applyFill="1" applyBorder="1" applyAlignment="1">
      <alignment horizontal="right" vertical="center"/>
    </xf>
    <xf numFmtId="3" fontId="5" fillId="6" borderId="6" xfId="2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5" fillId="3" borderId="6" xfId="2" applyFont="1" applyFill="1" applyBorder="1" applyAlignment="1">
      <alignment vertical="center" wrapText="1"/>
    </xf>
    <xf numFmtId="0" fontId="6" fillId="4" borderId="6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6" borderId="6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right" vertical="center" wrapText="1"/>
    </xf>
    <xf numFmtId="0" fontId="6" fillId="4" borderId="6" xfId="2" applyFont="1" applyFill="1" applyBorder="1" applyAlignment="1">
      <alignment horizontal="right" vertical="center"/>
    </xf>
    <xf numFmtId="0" fontId="5" fillId="4" borderId="6" xfId="2" applyFont="1" applyFill="1" applyBorder="1" applyAlignment="1">
      <alignment horizontal="right" vertical="center"/>
    </xf>
    <xf numFmtId="0" fontId="5" fillId="3" borderId="1" xfId="2" applyFont="1" applyFill="1" applyBorder="1" applyAlignment="1">
      <alignment vertical="center"/>
    </xf>
    <xf numFmtId="0" fontId="5" fillId="3" borderId="2" xfId="2" applyFont="1" applyFill="1" applyBorder="1" applyAlignment="1">
      <alignment vertical="center"/>
    </xf>
    <xf numFmtId="0" fontId="5" fillId="3" borderId="3" xfId="2" applyFont="1" applyFill="1" applyBorder="1" applyAlignment="1">
      <alignment vertical="center"/>
    </xf>
    <xf numFmtId="0" fontId="6" fillId="4" borderId="6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workbookViewId="0">
      <selection activeCell="E1" sqref="E1"/>
    </sheetView>
  </sheetViews>
  <sheetFormatPr defaultColWidth="8.85546875" defaultRowHeight="15" x14ac:dyDescent="0.25"/>
  <cols>
    <col min="1" max="1" width="8.85546875" style="1"/>
    <col min="2" max="2" width="12.7109375" style="1" bestFit="1" customWidth="1"/>
    <col min="3" max="3" width="20.140625" style="1" bestFit="1" customWidth="1"/>
    <col min="4" max="16384" width="8.85546875" style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</v>
      </c>
      <c r="B2" s="2" t="s">
        <v>6</v>
      </c>
      <c r="C2" s="2" t="s">
        <v>7</v>
      </c>
      <c r="D2" s="2">
        <v>548744</v>
      </c>
      <c r="E2" s="2">
        <v>529422</v>
      </c>
      <c r="F2" s="2">
        <v>1078166</v>
      </c>
    </row>
    <row r="3" spans="1:6" x14ac:dyDescent="0.25">
      <c r="A3" s="1">
        <v>3</v>
      </c>
      <c r="B3" s="2" t="s">
        <v>8</v>
      </c>
      <c r="C3" s="2" t="s">
        <v>9</v>
      </c>
      <c r="D3" s="2">
        <v>33273</v>
      </c>
      <c r="E3" s="2">
        <v>32679</v>
      </c>
      <c r="F3" s="2">
        <v>65952</v>
      </c>
    </row>
    <row r="4" spans="1:6" x14ac:dyDescent="0.25">
      <c r="A4" s="1">
        <v>4</v>
      </c>
      <c r="B4" s="2" t="s">
        <v>10</v>
      </c>
      <c r="C4" s="2" t="s">
        <v>11</v>
      </c>
      <c r="D4" s="2">
        <v>2073</v>
      </c>
      <c r="E4" s="2">
        <v>1964</v>
      </c>
      <c r="F4" s="2">
        <v>4037</v>
      </c>
    </row>
    <row r="5" spans="1:6" x14ac:dyDescent="0.25">
      <c r="A5" s="1">
        <v>4</v>
      </c>
      <c r="B5" s="2" t="s">
        <v>12</v>
      </c>
      <c r="C5" s="2" t="s">
        <v>13</v>
      </c>
      <c r="D5" s="2">
        <v>2165</v>
      </c>
      <c r="E5" s="2">
        <v>2162</v>
      </c>
      <c r="F5" s="2">
        <v>4327</v>
      </c>
    </row>
    <row r="6" spans="1:6" x14ac:dyDescent="0.25">
      <c r="A6" s="1">
        <v>4</v>
      </c>
      <c r="B6" s="2" t="s">
        <v>14</v>
      </c>
      <c r="C6" s="2" t="s">
        <v>15</v>
      </c>
      <c r="D6" s="2">
        <v>5556</v>
      </c>
      <c r="E6" s="2">
        <v>5355</v>
      </c>
      <c r="F6" s="2">
        <v>10911</v>
      </c>
    </row>
    <row r="7" spans="1:6" x14ac:dyDescent="0.25">
      <c r="A7" s="1">
        <v>4</v>
      </c>
      <c r="B7" s="2" t="s">
        <v>16</v>
      </c>
      <c r="C7" s="2" t="s">
        <v>17</v>
      </c>
      <c r="D7" s="2">
        <v>5537</v>
      </c>
      <c r="E7" s="2">
        <v>5427</v>
      </c>
      <c r="F7" s="2">
        <v>10964</v>
      </c>
    </row>
    <row r="8" spans="1:6" x14ac:dyDescent="0.25">
      <c r="A8" s="1">
        <v>4</v>
      </c>
      <c r="B8" s="2" t="s">
        <v>18</v>
      </c>
      <c r="C8" s="2" t="s">
        <v>19</v>
      </c>
      <c r="D8" s="2">
        <v>1485</v>
      </c>
      <c r="E8" s="2">
        <v>1480</v>
      </c>
      <c r="F8" s="2">
        <v>2965</v>
      </c>
    </row>
    <row r="9" spans="1:6" x14ac:dyDescent="0.25">
      <c r="A9" s="1">
        <v>4</v>
      </c>
      <c r="B9" s="2" t="s">
        <v>20</v>
      </c>
      <c r="C9" s="2" t="s">
        <v>21</v>
      </c>
      <c r="D9" s="2">
        <v>1371</v>
      </c>
      <c r="E9" s="2">
        <v>1372</v>
      </c>
      <c r="F9" s="2">
        <v>2743</v>
      </c>
    </row>
    <row r="10" spans="1:6" x14ac:dyDescent="0.25">
      <c r="A10" s="1">
        <v>4</v>
      </c>
      <c r="B10" s="2" t="s">
        <v>22</v>
      </c>
      <c r="C10" s="2" t="s">
        <v>23</v>
      </c>
      <c r="D10" s="2">
        <v>1480</v>
      </c>
      <c r="E10" s="2">
        <v>1414</v>
      </c>
      <c r="F10" s="2">
        <v>2894</v>
      </c>
    </row>
    <row r="11" spans="1:6" x14ac:dyDescent="0.25">
      <c r="A11" s="1">
        <v>4</v>
      </c>
      <c r="B11" s="2" t="s">
        <v>24</v>
      </c>
      <c r="C11" s="2" t="s">
        <v>25</v>
      </c>
      <c r="D11" s="2">
        <v>1459</v>
      </c>
      <c r="E11" s="2">
        <v>1392</v>
      </c>
      <c r="F11" s="2">
        <v>2851</v>
      </c>
    </row>
    <row r="12" spans="1:6" x14ac:dyDescent="0.25">
      <c r="A12" s="1">
        <v>4</v>
      </c>
      <c r="B12" s="2" t="s">
        <v>26</v>
      </c>
      <c r="C12" s="2" t="s">
        <v>27</v>
      </c>
      <c r="D12" s="2">
        <v>651</v>
      </c>
      <c r="E12" s="2">
        <v>678</v>
      </c>
      <c r="F12" s="2">
        <v>1329</v>
      </c>
    </row>
    <row r="13" spans="1:6" x14ac:dyDescent="0.25">
      <c r="A13" s="1">
        <v>4</v>
      </c>
      <c r="B13" s="2" t="s">
        <v>28</v>
      </c>
      <c r="C13" s="2" t="s">
        <v>29</v>
      </c>
      <c r="D13" s="2">
        <v>1423</v>
      </c>
      <c r="E13" s="2">
        <v>1482</v>
      </c>
      <c r="F13" s="2">
        <v>2905</v>
      </c>
    </row>
    <row r="14" spans="1:6" x14ac:dyDescent="0.25">
      <c r="A14" s="1">
        <v>4</v>
      </c>
      <c r="B14" s="2" t="s">
        <v>30</v>
      </c>
      <c r="C14" s="2" t="s">
        <v>31</v>
      </c>
      <c r="D14" s="2">
        <v>1772</v>
      </c>
      <c r="E14" s="2">
        <v>1777</v>
      </c>
      <c r="F14" s="2">
        <v>3549</v>
      </c>
    </row>
    <row r="15" spans="1:6" x14ac:dyDescent="0.25">
      <c r="A15" s="1">
        <v>4</v>
      </c>
      <c r="B15" s="2" t="s">
        <v>32</v>
      </c>
      <c r="C15" s="2" t="s">
        <v>9</v>
      </c>
      <c r="D15" s="2">
        <v>2092</v>
      </c>
      <c r="E15" s="2">
        <v>1967</v>
      </c>
      <c r="F15" s="2">
        <v>4059</v>
      </c>
    </row>
    <row r="16" spans="1:6" x14ac:dyDescent="0.25">
      <c r="A16" s="1">
        <v>4</v>
      </c>
      <c r="B16" s="2" t="s">
        <v>33</v>
      </c>
      <c r="C16" s="2" t="s">
        <v>34</v>
      </c>
      <c r="D16" s="2">
        <v>1475</v>
      </c>
      <c r="E16" s="2">
        <v>1517</v>
      </c>
      <c r="F16" s="2">
        <v>2992</v>
      </c>
    </row>
    <row r="17" spans="1:6" x14ac:dyDescent="0.25">
      <c r="A17" s="1">
        <v>4</v>
      </c>
      <c r="B17" s="2" t="s">
        <v>35</v>
      </c>
      <c r="C17" s="2" t="s">
        <v>36</v>
      </c>
      <c r="D17" s="2">
        <v>2274</v>
      </c>
      <c r="E17" s="2">
        <v>2234</v>
      </c>
      <c r="F17" s="2">
        <v>4508</v>
      </c>
    </row>
    <row r="18" spans="1:6" x14ac:dyDescent="0.25">
      <c r="A18" s="1">
        <v>4</v>
      </c>
      <c r="B18" s="2" t="s">
        <v>37</v>
      </c>
      <c r="C18" s="2" t="s">
        <v>38</v>
      </c>
      <c r="D18" s="2">
        <v>2460</v>
      </c>
      <c r="E18" s="2">
        <v>2458</v>
      </c>
      <c r="F18" s="2">
        <v>4918</v>
      </c>
    </row>
    <row r="19" spans="1:6" x14ac:dyDescent="0.25">
      <c r="A19" s="1">
        <v>3</v>
      </c>
      <c r="B19" s="2" t="s">
        <v>39</v>
      </c>
      <c r="C19" s="2" t="s">
        <v>40</v>
      </c>
      <c r="D19" s="2">
        <v>24997</v>
      </c>
      <c r="E19" s="2">
        <v>24702</v>
      </c>
      <c r="F19" s="2">
        <v>49699</v>
      </c>
    </row>
    <row r="20" spans="1:6" x14ac:dyDescent="0.25">
      <c r="A20" s="1">
        <v>4</v>
      </c>
      <c r="B20" s="2" t="s">
        <v>41</v>
      </c>
      <c r="C20" s="2" t="s">
        <v>42</v>
      </c>
      <c r="D20" s="2">
        <v>3966</v>
      </c>
      <c r="E20" s="2">
        <v>3965</v>
      </c>
      <c r="F20" s="2">
        <v>7931</v>
      </c>
    </row>
    <row r="21" spans="1:6" x14ac:dyDescent="0.25">
      <c r="A21" s="1">
        <v>4</v>
      </c>
      <c r="B21" s="2" t="s">
        <v>43</v>
      </c>
      <c r="C21" s="2" t="s">
        <v>44</v>
      </c>
      <c r="D21" s="2">
        <v>1858</v>
      </c>
      <c r="E21" s="2">
        <v>1821</v>
      </c>
      <c r="F21" s="2">
        <v>3679</v>
      </c>
    </row>
    <row r="22" spans="1:6" x14ac:dyDescent="0.25">
      <c r="A22" s="1">
        <v>4</v>
      </c>
      <c r="B22" s="2" t="s">
        <v>45</v>
      </c>
      <c r="C22" s="2" t="s">
        <v>46</v>
      </c>
      <c r="D22" s="2">
        <v>3137</v>
      </c>
      <c r="E22" s="2">
        <v>3168</v>
      </c>
      <c r="F22" s="2">
        <v>6305</v>
      </c>
    </row>
    <row r="23" spans="1:6" x14ac:dyDescent="0.25">
      <c r="A23" s="1">
        <v>4</v>
      </c>
      <c r="B23" s="2" t="s">
        <v>47</v>
      </c>
      <c r="C23" s="2" t="s">
        <v>48</v>
      </c>
      <c r="D23" s="2">
        <v>4606</v>
      </c>
      <c r="E23" s="2">
        <v>4504</v>
      </c>
      <c r="F23" s="2">
        <v>9110</v>
      </c>
    </row>
    <row r="24" spans="1:6" x14ac:dyDescent="0.25">
      <c r="A24" s="1">
        <v>4</v>
      </c>
      <c r="B24" s="2" t="s">
        <v>49</v>
      </c>
      <c r="C24" s="2" t="s">
        <v>50</v>
      </c>
      <c r="D24" s="2">
        <v>3600</v>
      </c>
      <c r="E24" s="2">
        <v>3618</v>
      </c>
      <c r="F24" s="2">
        <v>7218</v>
      </c>
    </row>
    <row r="25" spans="1:6" x14ac:dyDescent="0.25">
      <c r="A25" s="1">
        <v>4</v>
      </c>
      <c r="B25" s="2" t="s">
        <v>51</v>
      </c>
      <c r="C25" s="2" t="s">
        <v>52</v>
      </c>
      <c r="D25" s="2">
        <v>1845</v>
      </c>
      <c r="E25" s="2">
        <v>1836</v>
      </c>
      <c r="F25" s="2">
        <v>3681</v>
      </c>
    </row>
    <row r="26" spans="1:6" x14ac:dyDescent="0.25">
      <c r="A26" s="1">
        <v>4</v>
      </c>
      <c r="B26" s="2" t="s">
        <v>53</v>
      </c>
      <c r="C26" s="2" t="s">
        <v>54</v>
      </c>
      <c r="D26" s="2">
        <v>3352</v>
      </c>
      <c r="E26" s="2">
        <v>3182</v>
      </c>
      <c r="F26" s="2">
        <v>6534</v>
      </c>
    </row>
    <row r="27" spans="1:6" x14ac:dyDescent="0.25">
      <c r="A27" s="1">
        <v>4</v>
      </c>
      <c r="B27" s="2" t="s">
        <v>55</v>
      </c>
      <c r="C27" s="2" t="s">
        <v>56</v>
      </c>
      <c r="D27" s="2">
        <v>2633</v>
      </c>
      <c r="E27" s="2">
        <v>2608</v>
      </c>
      <c r="F27" s="2">
        <v>5241</v>
      </c>
    </row>
    <row r="28" spans="1:6" x14ac:dyDescent="0.25">
      <c r="A28" s="1">
        <v>3</v>
      </c>
      <c r="B28" s="2" t="s">
        <v>57</v>
      </c>
      <c r="C28" s="2" t="s">
        <v>58</v>
      </c>
      <c r="D28" s="2">
        <v>42481</v>
      </c>
      <c r="E28" s="2">
        <v>41532</v>
      </c>
      <c r="F28" s="2">
        <v>84013</v>
      </c>
    </row>
    <row r="29" spans="1:6" x14ac:dyDescent="0.25">
      <c r="A29" s="1">
        <v>4</v>
      </c>
      <c r="B29" s="2" t="s">
        <v>59</v>
      </c>
      <c r="C29" s="2" t="s">
        <v>60</v>
      </c>
      <c r="D29" s="2">
        <v>3112</v>
      </c>
      <c r="E29" s="2">
        <v>3024</v>
      </c>
      <c r="F29" s="2">
        <v>6136</v>
      </c>
    </row>
    <row r="30" spans="1:6" x14ac:dyDescent="0.25">
      <c r="A30" s="1">
        <v>4</v>
      </c>
      <c r="B30" s="2" t="s">
        <v>61</v>
      </c>
      <c r="C30" s="2" t="s">
        <v>62</v>
      </c>
      <c r="D30" s="2">
        <v>4938</v>
      </c>
      <c r="E30" s="2">
        <v>4919</v>
      </c>
      <c r="F30" s="2">
        <v>9857</v>
      </c>
    </row>
    <row r="31" spans="1:6" x14ac:dyDescent="0.25">
      <c r="A31" s="1">
        <v>4</v>
      </c>
      <c r="B31" s="2" t="s">
        <v>63</v>
      </c>
      <c r="C31" s="2" t="s">
        <v>64</v>
      </c>
      <c r="D31" s="2">
        <v>2396</v>
      </c>
      <c r="E31" s="2">
        <v>2410</v>
      </c>
      <c r="F31" s="2">
        <v>4806</v>
      </c>
    </row>
    <row r="32" spans="1:6" x14ac:dyDescent="0.25">
      <c r="A32" s="1">
        <v>4</v>
      </c>
      <c r="B32" s="2" t="s">
        <v>65</v>
      </c>
      <c r="C32" s="2" t="s">
        <v>66</v>
      </c>
      <c r="D32" s="2">
        <v>3125</v>
      </c>
      <c r="E32" s="2">
        <v>3055</v>
      </c>
      <c r="F32" s="2">
        <v>6180</v>
      </c>
    </row>
    <row r="33" spans="1:6" x14ac:dyDescent="0.25">
      <c r="A33" s="1">
        <v>4</v>
      </c>
      <c r="B33" s="2" t="s">
        <v>67</v>
      </c>
      <c r="C33" s="2" t="s">
        <v>68</v>
      </c>
      <c r="D33" s="2">
        <v>3580</v>
      </c>
      <c r="E33" s="2">
        <v>3496</v>
      </c>
      <c r="F33" s="2">
        <v>7076</v>
      </c>
    </row>
    <row r="34" spans="1:6" x14ac:dyDescent="0.25">
      <c r="A34" s="1">
        <v>4</v>
      </c>
      <c r="B34" s="2" t="s">
        <v>69</v>
      </c>
      <c r="C34" s="2" t="s">
        <v>70</v>
      </c>
      <c r="D34" s="2">
        <v>2774</v>
      </c>
      <c r="E34" s="2">
        <v>2703</v>
      </c>
      <c r="F34" s="2">
        <v>5477</v>
      </c>
    </row>
    <row r="35" spans="1:6" x14ac:dyDescent="0.25">
      <c r="A35" s="1">
        <v>4</v>
      </c>
      <c r="B35" s="2" t="s">
        <v>71</v>
      </c>
      <c r="C35" s="2" t="s">
        <v>72</v>
      </c>
      <c r="D35" s="2">
        <v>3903</v>
      </c>
      <c r="E35" s="2">
        <v>3774</v>
      </c>
      <c r="F35" s="2">
        <v>7677</v>
      </c>
    </row>
    <row r="36" spans="1:6" x14ac:dyDescent="0.25">
      <c r="A36" s="1">
        <v>4</v>
      </c>
      <c r="B36" s="2" t="s">
        <v>73</v>
      </c>
      <c r="C36" s="2" t="s">
        <v>74</v>
      </c>
      <c r="D36" s="2">
        <v>1424</v>
      </c>
      <c r="E36" s="2">
        <v>1322</v>
      </c>
      <c r="F36" s="2">
        <v>2746</v>
      </c>
    </row>
    <row r="37" spans="1:6" x14ac:dyDescent="0.25">
      <c r="A37" s="1">
        <v>4</v>
      </c>
      <c r="B37" s="2" t="s">
        <v>75</v>
      </c>
      <c r="C37" s="2" t="s">
        <v>76</v>
      </c>
      <c r="D37" s="2">
        <v>2692</v>
      </c>
      <c r="E37" s="2">
        <v>2674</v>
      </c>
      <c r="F37" s="2">
        <v>5366</v>
      </c>
    </row>
    <row r="38" spans="1:6" x14ac:dyDescent="0.25">
      <c r="A38" s="1">
        <v>4</v>
      </c>
      <c r="B38" s="2" t="s">
        <v>77</v>
      </c>
      <c r="C38" s="2" t="s">
        <v>78</v>
      </c>
      <c r="D38" s="2">
        <v>1412</v>
      </c>
      <c r="E38" s="2">
        <v>1402</v>
      </c>
      <c r="F38" s="2">
        <v>2814</v>
      </c>
    </row>
    <row r="39" spans="1:6" x14ac:dyDescent="0.25">
      <c r="A39" s="1">
        <v>4</v>
      </c>
      <c r="B39" s="2" t="s">
        <v>79</v>
      </c>
      <c r="C39" s="2" t="s">
        <v>80</v>
      </c>
      <c r="D39" s="2">
        <v>1337</v>
      </c>
      <c r="E39" s="2">
        <v>1331</v>
      </c>
      <c r="F39" s="2">
        <v>2668</v>
      </c>
    </row>
    <row r="40" spans="1:6" x14ac:dyDescent="0.25">
      <c r="A40" s="1">
        <v>4</v>
      </c>
      <c r="B40" s="2" t="s">
        <v>81</v>
      </c>
      <c r="C40" s="2" t="s">
        <v>82</v>
      </c>
      <c r="D40" s="2">
        <v>3703</v>
      </c>
      <c r="E40" s="2">
        <v>3519</v>
      </c>
      <c r="F40" s="2">
        <v>7222</v>
      </c>
    </row>
    <row r="41" spans="1:6" x14ac:dyDescent="0.25">
      <c r="A41" s="1">
        <v>4</v>
      </c>
      <c r="B41" s="2" t="s">
        <v>83</v>
      </c>
      <c r="C41" s="2" t="s">
        <v>84</v>
      </c>
      <c r="D41" s="2">
        <v>1345</v>
      </c>
      <c r="E41" s="2">
        <v>1297</v>
      </c>
      <c r="F41" s="2">
        <v>2642</v>
      </c>
    </row>
    <row r="42" spans="1:6" x14ac:dyDescent="0.25">
      <c r="A42" s="1">
        <v>4</v>
      </c>
      <c r="B42" s="2" t="s">
        <v>85</v>
      </c>
      <c r="C42" s="2" t="s">
        <v>86</v>
      </c>
      <c r="D42" s="2">
        <v>3271</v>
      </c>
      <c r="E42" s="2">
        <v>3198</v>
      </c>
      <c r="F42" s="2">
        <v>6469</v>
      </c>
    </row>
    <row r="43" spans="1:6" x14ac:dyDescent="0.25">
      <c r="A43" s="1">
        <v>4</v>
      </c>
      <c r="B43" s="2" t="s">
        <v>87</v>
      </c>
      <c r="C43" s="2" t="s">
        <v>88</v>
      </c>
      <c r="D43" s="2">
        <v>832</v>
      </c>
      <c r="E43" s="2">
        <v>808</v>
      </c>
      <c r="F43" s="2">
        <v>1640</v>
      </c>
    </row>
    <row r="44" spans="1:6" x14ac:dyDescent="0.25">
      <c r="A44" s="1">
        <v>4</v>
      </c>
      <c r="B44" s="2" t="s">
        <v>89</v>
      </c>
      <c r="C44" s="2" t="s">
        <v>90</v>
      </c>
      <c r="D44" s="2">
        <v>2637</v>
      </c>
      <c r="E44" s="2">
        <v>2600</v>
      </c>
      <c r="F44" s="2">
        <v>5237</v>
      </c>
    </row>
    <row r="45" spans="1:6" x14ac:dyDescent="0.25">
      <c r="A45" s="1">
        <v>3</v>
      </c>
      <c r="B45" s="2" t="s">
        <v>91</v>
      </c>
      <c r="C45" s="2" t="s">
        <v>92</v>
      </c>
      <c r="D45" s="2">
        <v>44019</v>
      </c>
      <c r="E45" s="2">
        <v>43287</v>
      </c>
      <c r="F45" s="2">
        <v>87306</v>
      </c>
    </row>
    <row r="46" spans="1:6" x14ac:dyDescent="0.25">
      <c r="A46" s="1">
        <v>4</v>
      </c>
      <c r="B46" s="2" t="s">
        <v>93</v>
      </c>
      <c r="C46" s="2" t="s">
        <v>94</v>
      </c>
      <c r="D46" s="2">
        <v>2578</v>
      </c>
      <c r="E46" s="2">
        <v>2486</v>
      </c>
      <c r="F46" s="2">
        <v>5064</v>
      </c>
    </row>
    <row r="47" spans="1:6" x14ac:dyDescent="0.25">
      <c r="A47" s="1">
        <v>4</v>
      </c>
      <c r="B47" s="2" t="s">
        <v>95</v>
      </c>
      <c r="C47" s="2" t="s">
        <v>96</v>
      </c>
      <c r="D47" s="2">
        <v>6170</v>
      </c>
      <c r="E47" s="2">
        <v>5913</v>
      </c>
      <c r="F47" s="2">
        <v>12083</v>
      </c>
    </row>
    <row r="48" spans="1:6" x14ac:dyDescent="0.25">
      <c r="A48" s="1">
        <v>4</v>
      </c>
      <c r="B48" s="2" t="s">
        <v>97</v>
      </c>
      <c r="C48" s="2" t="s">
        <v>98</v>
      </c>
      <c r="D48" s="2">
        <v>3740</v>
      </c>
      <c r="E48" s="2">
        <v>3773</v>
      </c>
      <c r="F48" s="2">
        <v>7513</v>
      </c>
    </row>
    <row r="49" spans="1:6" x14ac:dyDescent="0.25">
      <c r="A49" s="1">
        <v>4</v>
      </c>
      <c r="B49" s="2" t="s">
        <v>99</v>
      </c>
      <c r="C49" s="2" t="s">
        <v>100</v>
      </c>
      <c r="D49" s="2">
        <v>2994</v>
      </c>
      <c r="E49" s="2">
        <v>2936</v>
      </c>
      <c r="F49" s="2">
        <v>5930</v>
      </c>
    </row>
    <row r="50" spans="1:6" x14ac:dyDescent="0.25">
      <c r="A50" s="1">
        <v>4</v>
      </c>
      <c r="B50" s="2" t="s">
        <v>101</v>
      </c>
      <c r="C50" s="2" t="s">
        <v>102</v>
      </c>
      <c r="D50" s="2">
        <v>4298</v>
      </c>
      <c r="E50" s="2">
        <v>4196</v>
      </c>
      <c r="F50" s="2">
        <v>8494</v>
      </c>
    </row>
    <row r="51" spans="1:6" x14ac:dyDescent="0.25">
      <c r="A51" s="1">
        <v>4</v>
      </c>
      <c r="B51" s="2" t="s">
        <v>103</v>
      </c>
      <c r="C51" s="2" t="s">
        <v>104</v>
      </c>
      <c r="D51" s="2">
        <v>3664</v>
      </c>
      <c r="E51" s="2">
        <v>3495</v>
      </c>
      <c r="F51" s="2">
        <v>7159</v>
      </c>
    </row>
    <row r="52" spans="1:6" x14ac:dyDescent="0.25">
      <c r="A52" s="1">
        <v>4</v>
      </c>
      <c r="B52" s="2" t="s">
        <v>105</v>
      </c>
      <c r="C52" s="2" t="s">
        <v>106</v>
      </c>
      <c r="D52" s="2">
        <v>2802</v>
      </c>
      <c r="E52" s="2">
        <v>2802</v>
      </c>
      <c r="F52" s="2">
        <v>5604</v>
      </c>
    </row>
    <row r="53" spans="1:6" x14ac:dyDescent="0.25">
      <c r="A53" s="1">
        <v>4</v>
      </c>
      <c r="B53" s="2" t="s">
        <v>107</v>
      </c>
      <c r="C53" s="2" t="s">
        <v>108</v>
      </c>
      <c r="D53" s="2">
        <v>2529</v>
      </c>
      <c r="E53" s="2">
        <v>2538</v>
      </c>
      <c r="F53" s="2">
        <v>5067</v>
      </c>
    </row>
    <row r="54" spans="1:6" x14ac:dyDescent="0.25">
      <c r="A54" s="1">
        <v>4</v>
      </c>
      <c r="B54" s="2" t="s">
        <v>109</v>
      </c>
      <c r="C54" s="2" t="s">
        <v>110</v>
      </c>
      <c r="D54" s="2">
        <v>2772</v>
      </c>
      <c r="E54" s="2">
        <v>2798</v>
      </c>
      <c r="F54" s="2">
        <v>5570</v>
      </c>
    </row>
    <row r="55" spans="1:6" x14ac:dyDescent="0.25">
      <c r="A55" s="1">
        <v>4</v>
      </c>
      <c r="B55" s="2" t="s">
        <v>111</v>
      </c>
      <c r="C55" s="2" t="s">
        <v>112</v>
      </c>
      <c r="D55" s="2">
        <v>4344</v>
      </c>
      <c r="E55" s="2">
        <v>4414</v>
      </c>
      <c r="F55" s="2">
        <v>8758</v>
      </c>
    </row>
    <row r="56" spans="1:6" x14ac:dyDescent="0.25">
      <c r="A56" s="1">
        <v>4</v>
      </c>
      <c r="B56" s="2" t="s">
        <v>113</v>
      </c>
      <c r="C56" s="2" t="s">
        <v>114</v>
      </c>
      <c r="D56" s="2">
        <v>2427</v>
      </c>
      <c r="E56" s="2">
        <v>2338</v>
      </c>
      <c r="F56" s="2">
        <v>4765</v>
      </c>
    </row>
    <row r="57" spans="1:6" x14ac:dyDescent="0.25">
      <c r="A57" s="1">
        <v>4</v>
      </c>
      <c r="B57" s="2" t="s">
        <v>115</v>
      </c>
      <c r="C57" s="2" t="s">
        <v>116</v>
      </c>
      <c r="D57" s="2">
        <v>4086</v>
      </c>
      <c r="E57" s="2">
        <v>4028</v>
      </c>
      <c r="F57" s="2">
        <v>8114</v>
      </c>
    </row>
    <row r="58" spans="1:6" x14ac:dyDescent="0.25">
      <c r="A58" s="1">
        <v>4</v>
      </c>
      <c r="B58" s="2" t="s">
        <v>117</v>
      </c>
      <c r="C58" s="2" t="s">
        <v>118</v>
      </c>
      <c r="D58" s="2">
        <v>1615</v>
      </c>
      <c r="E58" s="2">
        <v>1570</v>
      </c>
      <c r="F58" s="2">
        <v>3185</v>
      </c>
    </row>
    <row r="59" spans="1:6" x14ac:dyDescent="0.25">
      <c r="A59" s="1">
        <v>3</v>
      </c>
      <c r="B59" s="2" t="s">
        <v>119</v>
      </c>
      <c r="C59" s="2" t="s">
        <v>120</v>
      </c>
      <c r="D59" s="2">
        <v>33910</v>
      </c>
      <c r="E59" s="2">
        <v>33227</v>
      </c>
      <c r="F59" s="2">
        <v>67137</v>
      </c>
    </row>
    <row r="60" spans="1:6" x14ac:dyDescent="0.25">
      <c r="A60" s="1">
        <v>4</v>
      </c>
      <c r="B60" s="2" t="s">
        <v>121</v>
      </c>
      <c r="C60" s="2" t="s">
        <v>122</v>
      </c>
      <c r="D60" s="2">
        <v>2428</v>
      </c>
      <c r="E60" s="2">
        <v>2382</v>
      </c>
      <c r="F60" s="2">
        <v>4810</v>
      </c>
    </row>
    <row r="61" spans="1:6" x14ac:dyDescent="0.25">
      <c r="A61" s="1">
        <v>4</v>
      </c>
      <c r="B61" s="2" t="s">
        <v>123</v>
      </c>
      <c r="C61" s="2" t="s">
        <v>124</v>
      </c>
      <c r="D61" s="2">
        <v>2234</v>
      </c>
      <c r="E61" s="2">
        <v>2140</v>
      </c>
      <c r="F61" s="2">
        <v>4374</v>
      </c>
    </row>
    <row r="62" spans="1:6" x14ac:dyDescent="0.25">
      <c r="A62" s="1">
        <v>4</v>
      </c>
      <c r="B62" s="2" t="s">
        <v>125</v>
      </c>
      <c r="C62" s="2" t="s">
        <v>126</v>
      </c>
      <c r="D62" s="2">
        <v>1958</v>
      </c>
      <c r="E62" s="2">
        <v>1818</v>
      </c>
      <c r="F62" s="2">
        <v>3776</v>
      </c>
    </row>
    <row r="63" spans="1:6" x14ac:dyDescent="0.25">
      <c r="A63" s="1">
        <v>4</v>
      </c>
      <c r="B63" s="2" t="s">
        <v>127</v>
      </c>
      <c r="C63" s="2" t="s">
        <v>128</v>
      </c>
      <c r="D63" s="2">
        <v>1773</v>
      </c>
      <c r="E63" s="2">
        <v>1658</v>
      </c>
      <c r="F63" s="2">
        <v>3431</v>
      </c>
    </row>
    <row r="64" spans="1:6" x14ac:dyDescent="0.25">
      <c r="A64" s="1">
        <v>4</v>
      </c>
      <c r="B64" s="2" t="s">
        <v>129</v>
      </c>
      <c r="C64" s="2" t="s">
        <v>130</v>
      </c>
      <c r="D64" s="2">
        <v>989</v>
      </c>
      <c r="E64" s="2">
        <v>937</v>
      </c>
      <c r="F64" s="2">
        <v>1926</v>
      </c>
    </row>
    <row r="65" spans="1:6" x14ac:dyDescent="0.25">
      <c r="A65" s="1">
        <v>4</v>
      </c>
      <c r="B65" s="2" t="s">
        <v>131</v>
      </c>
      <c r="C65" s="2" t="s">
        <v>132</v>
      </c>
      <c r="D65" s="2">
        <v>1516</v>
      </c>
      <c r="E65" s="2">
        <v>1552</v>
      </c>
      <c r="F65" s="2">
        <v>3068</v>
      </c>
    </row>
    <row r="66" spans="1:6" x14ac:dyDescent="0.25">
      <c r="A66" s="1">
        <v>4</v>
      </c>
      <c r="B66" s="2" t="s">
        <v>133</v>
      </c>
      <c r="C66" s="2" t="s">
        <v>134</v>
      </c>
      <c r="D66" s="2">
        <v>540</v>
      </c>
      <c r="E66" s="2">
        <v>513</v>
      </c>
      <c r="F66" s="2">
        <v>1053</v>
      </c>
    </row>
    <row r="67" spans="1:6" x14ac:dyDescent="0.25">
      <c r="A67" s="1">
        <v>4</v>
      </c>
      <c r="B67" s="2" t="s">
        <v>135</v>
      </c>
      <c r="C67" s="2" t="s">
        <v>136</v>
      </c>
      <c r="D67" s="2">
        <v>643</v>
      </c>
      <c r="E67" s="2">
        <v>647</v>
      </c>
      <c r="F67" s="2">
        <v>1290</v>
      </c>
    </row>
    <row r="68" spans="1:6" x14ac:dyDescent="0.25">
      <c r="A68" s="1">
        <v>4</v>
      </c>
      <c r="B68" s="2" t="s">
        <v>137</v>
      </c>
      <c r="C68" s="2" t="s">
        <v>138</v>
      </c>
      <c r="D68" s="2">
        <v>1592</v>
      </c>
      <c r="E68" s="2">
        <v>1559</v>
      </c>
      <c r="F68" s="2">
        <v>3151</v>
      </c>
    </row>
    <row r="69" spans="1:6" x14ac:dyDescent="0.25">
      <c r="A69" s="1">
        <v>4</v>
      </c>
      <c r="B69" s="2" t="s">
        <v>139</v>
      </c>
      <c r="C69" s="2" t="s">
        <v>140</v>
      </c>
      <c r="D69" s="2">
        <v>678</v>
      </c>
      <c r="E69" s="2">
        <v>650</v>
      </c>
      <c r="F69" s="2">
        <v>1328</v>
      </c>
    </row>
    <row r="70" spans="1:6" x14ac:dyDescent="0.25">
      <c r="A70" s="1">
        <v>4</v>
      </c>
      <c r="B70" s="2" t="s">
        <v>141</v>
      </c>
      <c r="C70" s="2" t="s">
        <v>142</v>
      </c>
      <c r="D70" s="2">
        <v>2747</v>
      </c>
      <c r="E70" s="2">
        <v>2740</v>
      </c>
      <c r="F70" s="2">
        <v>5487</v>
      </c>
    </row>
    <row r="71" spans="1:6" x14ac:dyDescent="0.25">
      <c r="A71" s="1">
        <v>4</v>
      </c>
      <c r="B71" s="2" t="s">
        <v>143</v>
      </c>
      <c r="C71" s="2" t="s">
        <v>144</v>
      </c>
      <c r="D71" s="2">
        <v>2680</v>
      </c>
      <c r="E71" s="2">
        <v>2663</v>
      </c>
      <c r="F71" s="2">
        <v>5343</v>
      </c>
    </row>
    <row r="72" spans="1:6" x14ac:dyDescent="0.25">
      <c r="A72" s="1">
        <v>4</v>
      </c>
      <c r="B72" s="2" t="s">
        <v>145</v>
      </c>
      <c r="C72" s="2" t="s">
        <v>146</v>
      </c>
      <c r="D72" s="2">
        <v>1306</v>
      </c>
      <c r="E72" s="2">
        <v>1261</v>
      </c>
      <c r="F72" s="2">
        <v>2567</v>
      </c>
    </row>
    <row r="73" spans="1:6" x14ac:dyDescent="0.25">
      <c r="A73" s="1">
        <v>4</v>
      </c>
      <c r="B73" s="2" t="s">
        <v>147</v>
      </c>
      <c r="C73" s="2" t="s">
        <v>120</v>
      </c>
      <c r="D73" s="2">
        <v>2165</v>
      </c>
      <c r="E73" s="2">
        <v>2176</v>
      </c>
      <c r="F73" s="2">
        <v>4341</v>
      </c>
    </row>
    <row r="74" spans="1:6" x14ac:dyDescent="0.25">
      <c r="A74" s="1">
        <v>4</v>
      </c>
      <c r="B74" s="2" t="s">
        <v>148</v>
      </c>
      <c r="C74" s="2" t="s">
        <v>149</v>
      </c>
      <c r="D74" s="2">
        <v>847</v>
      </c>
      <c r="E74" s="2">
        <v>866</v>
      </c>
      <c r="F74" s="2">
        <v>1713</v>
      </c>
    </row>
    <row r="75" spans="1:6" x14ac:dyDescent="0.25">
      <c r="A75" s="1">
        <v>4</v>
      </c>
      <c r="B75" s="2" t="s">
        <v>150</v>
      </c>
      <c r="C75" s="2" t="s">
        <v>151</v>
      </c>
      <c r="D75" s="2">
        <v>3123</v>
      </c>
      <c r="E75" s="2">
        <v>3129</v>
      </c>
      <c r="F75" s="2">
        <v>6252</v>
      </c>
    </row>
    <row r="76" spans="1:6" x14ac:dyDescent="0.25">
      <c r="A76" s="1">
        <v>4</v>
      </c>
      <c r="B76" s="2" t="s">
        <v>152</v>
      </c>
      <c r="C76" s="2" t="s">
        <v>153</v>
      </c>
      <c r="D76" s="2">
        <v>3251</v>
      </c>
      <c r="E76" s="2">
        <v>3138</v>
      </c>
      <c r="F76" s="2">
        <v>6389</v>
      </c>
    </row>
    <row r="77" spans="1:6" x14ac:dyDescent="0.25">
      <c r="A77" s="1">
        <v>4</v>
      </c>
      <c r="B77" s="2" t="s">
        <v>154</v>
      </c>
      <c r="C77" s="2" t="s">
        <v>155</v>
      </c>
      <c r="D77" s="2">
        <v>3440</v>
      </c>
      <c r="E77" s="2">
        <v>3398</v>
      </c>
      <c r="F77" s="2">
        <v>6838</v>
      </c>
    </row>
    <row r="78" spans="1:6" x14ac:dyDescent="0.25">
      <c r="A78" s="1">
        <v>3</v>
      </c>
      <c r="B78" s="2" t="s">
        <v>156</v>
      </c>
      <c r="C78" s="2" t="s">
        <v>7</v>
      </c>
      <c r="D78" s="2">
        <v>36076</v>
      </c>
      <c r="E78" s="2">
        <v>35591</v>
      </c>
      <c r="F78" s="2">
        <v>71667</v>
      </c>
    </row>
    <row r="79" spans="1:6" x14ac:dyDescent="0.25">
      <c r="A79" s="1">
        <v>4</v>
      </c>
      <c r="B79" s="2" t="s">
        <v>157</v>
      </c>
      <c r="C79" s="2" t="s">
        <v>158</v>
      </c>
      <c r="D79" s="2">
        <v>2958</v>
      </c>
      <c r="E79" s="2">
        <v>2844</v>
      </c>
      <c r="F79" s="2">
        <v>5802</v>
      </c>
    </row>
    <row r="80" spans="1:6" x14ac:dyDescent="0.25">
      <c r="A80" s="1">
        <v>4</v>
      </c>
      <c r="B80" s="2" t="s">
        <v>159</v>
      </c>
      <c r="C80" s="2" t="s">
        <v>160</v>
      </c>
      <c r="D80" s="2">
        <v>2125</v>
      </c>
      <c r="E80" s="2">
        <v>2161</v>
      </c>
      <c r="F80" s="2">
        <v>4286</v>
      </c>
    </row>
    <row r="81" spans="1:6" x14ac:dyDescent="0.25">
      <c r="A81" s="1">
        <v>4</v>
      </c>
      <c r="B81" s="2" t="s">
        <v>161</v>
      </c>
      <c r="C81" s="2" t="s">
        <v>162</v>
      </c>
      <c r="D81" s="2">
        <v>1585</v>
      </c>
      <c r="E81" s="2">
        <v>1520</v>
      </c>
      <c r="F81" s="2">
        <v>3105</v>
      </c>
    </row>
    <row r="82" spans="1:6" x14ac:dyDescent="0.25">
      <c r="A82" s="1">
        <v>4</v>
      </c>
      <c r="B82" s="2" t="s">
        <v>163</v>
      </c>
      <c r="C82" s="2" t="s">
        <v>164</v>
      </c>
      <c r="D82" s="2">
        <v>2077</v>
      </c>
      <c r="E82" s="2">
        <v>2047</v>
      </c>
      <c r="F82" s="2">
        <v>4124</v>
      </c>
    </row>
    <row r="83" spans="1:6" x14ac:dyDescent="0.25">
      <c r="A83" s="1">
        <v>4</v>
      </c>
      <c r="B83" s="2" t="s">
        <v>165</v>
      </c>
      <c r="C83" s="2" t="s">
        <v>166</v>
      </c>
      <c r="D83" s="2">
        <v>3268</v>
      </c>
      <c r="E83" s="2">
        <v>3277</v>
      </c>
      <c r="F83" s="2">
        <v>6545</v>
      </c>
    </row>
    <row r="84" spans="1:6" x14ac:dyDescent="0.25">
      <c r="A84" s="1">
        <v>4</v>
      </c>
      <c r="B84" s="2" t="s">
        <v>167</v>
      </c>
      <c r="C84" s="2" t="s">
        <v>168</v>
      </c>
      <c r="D84" s="2">
        <v>4579</v>
      </c>
      <c r="E84" s="2">
        <v>4585</v>
      </c>
      <c r="F84" s="2">
        <v>9164</v>
      </c>
    </row>
    <row r="85" spans="1:6" x14ac:dyDescent="0.25">
      <c r="A85" s="1">
        <v>4</v>
      </c>
      <c r="B85" s="2" t="s">
        <v>169</v>
      </c>
      <c r="C85" s="2" t="s">
        <v>170</v>
      </c>
      <c r="D85" s="2">
        <v>2576</v>
      </c>
      <c r="E85" s="2">
        <v>2588</v>
      </c>
      <c r="F85" s="2">
        <v>5164</v>
      </c>
    </row>
    <row r="86" spans="1:6" x14ac:dyDescent="0.25">
      <c r="A86" s="1">
        <v>4</v>
      </c>
      <c r="B86" s="2" t="s">
        <v>171</v>
      </c>
      <c r="C86" s="2" t="s">
        <v>172</v>
      </c>
      <c r="D86" s="2">
        <v>3290</v>
      </c>
      <c r="E86" s="2">
        <v>3204</v>
      </c>
      <c r="F86" s="2">
        <v>6494</v>
      </c>
    </row>
    <row r="87" spans="1:6" x14ac:dyDescent="0.25">
      <c r="A87" s="1">
        <v>4</v>
      </c>
      <c r="B87" s="2" t="s">
        <v>173</v>
      </c>
      <c r="C87" s="2" t="s">
        <v>174</v>
      </c>
      <c r="D87" s="2">
        <v>5628</v>
      </c>
      <c r="E87" s="2">
        <v>5793</v>
      </c>
      <c r="F87" s="2">
        <v>11421</v>
      </c>
    </row>
    <row r="88" spans="1:6" x14ac:dyDescent="0.25">
      <c r="A88" s="1">
        <v>4</v>
      </c>
      <c r="B88" s="2" t="s">
        <v>175</v>
      </c>
      <c r="C88" s="2" t="s">
        <v>176</v>
      </c>
      <c r="D88" s="2">
        <v>2729</v>
      </c>
      <c r="E88" s="2">
        <v>2616</v>
      </c>
      <c r="F88" s="2">
        <v>5345</v>
      </c>
    </row>
    <row r="89" spans="1:6" x14ac:dyDescent="0.25">
      <c r="A89" s="1">
        <v>4</v>
      </c>
      <c r="B89" s="2" t="s">
        <v>177</v>
      </c>
      <c r="C89" s="2" t="s">
        <v>178</v>
      </c>
      <c r="D89" s="2">
        <v>1744</v>
      </c>
      <c r="E89" s="2">
        <v>1599</v>
      </c>
      <c r="F89" s="2">
        <v>3343</v>
      </c>
    </row>
    <row r="90" spans="1:6" x14ac:dyDescent="0.25">
      <c r="A90" s="1">
        <v>4</v>
      </c>
      <c r="B90" s="2" t="s">
        <v>179</v>
      </c>
      <c r="C90" s="2" t="s">
        <v>180</v>
      </c>
      <c r="D90" s="2">
        <v>1921</v>
      </c>
      <c r="E90" s="2">
        <v>1828</v>
      </c>
      <c r="F90" s="2">
        <v>3749</v>
      </c>
    </row>
    <row r="91" spans="1:6" x14ac:dyDescent="0.25">
      <c r="A91" s="1">
        <v>4</v>
      </c>
      <c r="B91" s="2" t="s">
        <v>181</v>
      </c>
      <c r="C91" s="2" t="s">
        <v>182</v>
      </c>
      <c r="D91" s="2">
        <v>1596</v>
      </c>
      <c r="E91" s="2">
        <v>1529</v>
      </c>
      <c r="F91" s="2">
        <v>3125</v>
      </c>
    </row>
    <row r="92" spans="1:6" x14ac:dyDescent="0.25">
      <c r="A92" s="1">
        <v>3</v>
      </c>
      <c r="B92" s="2" t="s">
        <v>183</v>
      </c>
      <c r="C92" s="2" t="s">
        <v>184</v>
      </c>
      <c r="D92" s="2">
        <v>16731</v>
      </c>
      <c r="E92" s="2">
        <v>16430</v>
      </c>
      <c r="F92" s="2">
        <v>33161</v>
      </c>
    </row>
    <row r="93" spans="1:6" x14ac:dyDescent="0.25">
      <c r="A93" s="1">
        <v>4</v>
      </c>
      <c r="B93" s="2" t="s">
        <v>185</v>
      </c>
      <c r="C93" s="2" t="s">
        <v>186</v>
      </c>
      <c r="D93" s="2">
        <v>1033</v>
      </c>
      <c r="E93" s="2">
        <v>1012</v>
      </c>
      <c r="F93" s="2">
        <v>2045</v>
      </c>
    </row>
    <row r="94" spans="1:6" x14ac:dyDescent="0.25">
      <c r="A94" s="1">
        <v>4</v>
      </c>
      <c r="B94" s="2" t="s">
        <v>187</v>
      </c>
      <c r="C94" s="2" t="s">
        <v>188</v>
      </c>
      <c r="D94" s="2">
        <v>976</v>
      </c>
      <c r="E94" s="2">
        <v>972</v>
      </c>
      <c r="F94" s="2">
        <v>1948</v>
      </c>
    </row>
    <row r="95" spans="1:6" x14ac:dyDescent="0.25">
      <c r="A95" s="1">
        <v>4</v>
      </c>
      <c r="B95" s="2" t="s">
        <v>189</v>
      </c>
      <c r="C95" s="2" t="s">
        <v>190</v>
      </c>
      <c r="D95" s="2">
        <v>1456</v>
      </c>
      <c r="E95" s="2">
        <v>1348</v>
      </c>
      <c r="F95" s="2">
        <v>2804</v>
      </c>
    </row>
    <row r="96" spans="1:6" x14ac:dyDescent="0.25">
      <c r="A96" s="1">
        <v>4</v>
      </c>
      <c r="B96" s="2" t="s">
        <v>191</v>
      </c>
      <c r="C96" s="2" t="s">
        <v>192</v>
      </c>
      <c r="D96" s="2">
        <v>1912</v>
      </c>
      <c r="E96" s="2">
        <v>1804</v>
      </c>
      <c r="F96" s="2">
        <v>3716</v>
      </c>
    </row>
    <row r="97" spans="1:6" x14ac:dyDescent="0.25">
      <c r="A97" s="1">
        <v>4</v>
      </c>
      <c r="B97" s="2" t="s">
        <v>193</v>
      </c>
      <c r="C97" s="2" t="s">
        <v>194</v>
      </c>
      <c r="D97" s="2">
        <v>946</v>
      </c>
      <c r="E97" s="2">
        <v>969</v>
      </c>
      <c r="F97" s="2">
        <v>1915</v>
      </c>
    </row>
    <row r="98" spans="1:6" x14ac:dyDescent="0.25">
      <c r="A98" s="1">
        <v>4</v>
      </c>
      <c r="B98" s="2" t="s">
        <v>195</v>
      </c>
      <c r="C98" s="2" t="s">
        <v>196</v>
      </c>
      <c r="D98" s="2">
        <v>665</v>
      </c>
      <c r="E98" s="2">
        <v>620</v>
      </c>
      <c r="F98" s="2">
        <v>1285</v>
      </c>
    </row>
    <row r="99" spans="1:6" x14ac:dyDescent="0.25">
      <c r="A99" s="1">
        <v>4</v>
      </c>
      <c r="B99" s="2" t="s">
        <v>197</v>
      </c>
      <c r="C99" s="2" t="s">
        <v>198</v>
      </c>
      <c r="D99" s="2">
        <v>1567</v>
      </c>
      <c r="E99" s="2">
        <v>1559</v>
      </c>
      <c r="F99" s="2">
        <v>3126</v>
      </c>
    </row>
    <row r="100" spans="1:6" x14ac:dyDescent="0.25">
      <c r="A100" s="1">
        <v>4</v>
      </c>
      <c r="B100" s="2" t="s">
        <v>199</v>
      </c>
      <c r="C100" s="2" t="s">
        <v>149</v>
      </c>
      <c r="D100" s="2">
        <v>1054</v>
      </c>
      <c r="E100" s="2">
        <v>1001</v>
      </c>
      <c r="F100" s="2">
        <v>2055</v>
      </c>
    </row>
    <row r="101" spans="1:6" x14ac:dyDescent="0.25">
      <c r="A101" s="1">
        <v>4</v>
      </c>
      <c r="B101" s="2" t="s">
        <v>200</v>
      </c>
      <c r="C101" s="2" t="s">
        <v>201</v>
      </c>
      <c r="D101" s="2">
        <v>2346</v>
      </c>
      <c r="E101" s="2">
        <v>2356</v>
      </c>
      <c r="F101" s="2">
        <v>4702</v>
      </c>
    </row>
    <row r="102" spans="1:6" x14ac:dyDescent="0.25">
      <c r="A102" s="1">
        <v>4</v>
      </c>
      <c r="B102" s="2" t="s">
        <v>202</v>
      </c>
      <c r="C102" s="2" t="s">
        <v>203</v>
      </c>
      <c r="D102" s="2">
        <v>1658</v>
      </c>
      <c r="E102" s="2">
        <v>1602</v>
      </c>
      <c r="F102" s="2">
        <v>3260</v>
      </c>
    </row>
    <row r="103" spans="1:6" x14ac:dyDescent="0.25">
      <c r="A103" s="1">
        <v>4</v>
      </c>
      <c r="B103" s="2" t="s">
        <v>204</v>
      </c>
      <c r="C103" s="2" t="s">
        <v>205</v>
      </c>
      <c r="D103" s="2">
        <v>520</v>
      </c>
      <c r="E103" s="2">
        <v>534</v>
      </c>
      <c r="F103" s="2">
        <v>1054</v>
      </c>
    </row>
    <row r="104" spans="1:6" x14ac:dyDescent="0.25">
      <c r="A104" s="1">
        <v>4</v>
      </c>
      <c r="B104" s="2" t="s">
        <v>206</v>
      </c>
      <c r="C104" s="2" t="s">
        <v>207</v>
      </c>
      <c r="D104" s="2">
        <v>400</v>
      </c>
      <c r="E104" s="2">
        <v>425</v>
      </c>
      <c r="F104" s="2">
        <v>825</v>
      </c>
    </row>
    <row r="105" spans="1:6" x14ac:dyDescent="0.25">
      <c r="A105" s="1">
        <v>4</v>
      </c>
      <c r="B105" s="2" t="s">
        <v>208</v>
      </c>
      <c r="C105" s="2" t="s">
        <v>209</v>
      </c>
      <c r="D105" s="2">
        <v>259</v>
      </c>
      <c r="E105" s="2">
        <v>247</v>
      </c>
      <c r="F105" s="2">
        <v>506</v>
      </c>
    </row>
    <row r="106" spans="1:6" x14ac:dyDescent="0.25">
      <c r="A106" s="1">
        <v>4</v>
      </c>
      <c r="B106" s="2" t="s">
        <v>210</v>
      </c>
      <c r="C106" s="2" t="s">
        <v>184</v>
      </c>
      <c r="D106" s="2">
        <v>695</v>
      </c>
      <c r="E106" s="2">
        <v>703</v>
      </c>
      <c r="F106" s="2">
        <v>1398</v>
      </c>
    </row>
    <row r="107" spans="1:6" x14ac:dyDescent="0.25">
      <c r="A107" s="1">
        <v>4</v>
      </c>
      <c r="B107" s="2" t="s">
        <v>211</v>
      </c>
      <c r="C107" s="2" t="s">
        <v>212</v>
      </c>
      <c r="D107" s="2">
        <v>1244</v>
      </c>
      <c r="E107" s="2">
        <v>1278</v>
      </c>
      <c r="F107" s="2">
        <v>2522</v>
      </c>
    </row>
    <row r="108" spans="1:6" x14ac:dyDescent="0.25">
      <c r="A108" s="1">
        <v>3</v>
      </c>
      <c r="B108" s="2" t="s">
        <v>213</v>
      </c>
      <c r="C108" s="2" t="s">
        <v>214</v>
      </c>
      <c r="D108" s="2">
        <v>24165</v>
      </c>
      <c r="E108" s="2">
        <v>23174</v>
      </c>
      <c r="F108" s="2">
        <v>47339</v>
      </c>
    </row>
    <row r="109" spans="1:6" x14ac:dyDescent="0.25">
      <c r="A109" s="1">
        <v>4</v>
      </c>
      <c r="B109" s="2" t="s">
        <v>215</v>
      </c>
      <c r="C109" s="2" t="s">
        <v>216</v>
      </c>
      <c r="D109" s="2">
        <v>1493</v>
      </c>
      <c r="E109" s="2">
        <v>1427</v>
      </c>
      <c r="F109" s="2">
        <v>2920</v>
      </c>
    </row>
    <row r="110" spans="1:6" x14ac:dyDescent="0.25">
      <c r="A110" s="1">
        <v>4</v>
      </c>
      <c r="B110" s="2" t="s">
        <v>217</v>
      </c>
      <c r="C110" s="2" t="s">
        <v>218</v>
      </c>
      <c r="D110" s="2">
        <v>1407</v>
      </c>
      <c r="E110" s="2">
        <v>1369</v>
      </c>
      <c r="F110" s="2">
        <v>2776</v>
      </c>
    </row>
    <row r="111" spans="1:6" x14ac:dyDescent="0.25">
      <c r="A111" s="1">
        <v>4</v>
      </c>
      <c r="B111" s="2" t="s">
        <v>219</v>
      </c>
      <c r="C111" s="2" t="s">
        <v>220</v>
      </c>
      <c r="D111" s="2">
        <v>897</v>
      </c>
      <c r="E111" s="2">
        <v>874</v>
      </c>
      <c r="F111" s="2">
        <v>1771</v>
      </c>
    </row>
    <row r="112" spans="1:6" x14ac:dyDescent="0.25">
      <c r="A112" s="1">
        <v>4</v>
      </c>
      <c r="B112" s="2" t="s">
        <v>221</v>
      </c>
      <c r="C112" s="2" t="s">
        <v>222</v>
      </c>
      <c r="D112" s="2">
        <v>570</v>
      </c>
      <c r="E112" s="2">
        <v>552</v>
      </c>
      <c r="F112" s="2">
        <v>1122</v>
      </c>
    </row>
    <row r="113" spans="1:6" x14ac:dyDescent="0.25">
      <c r="A113" s="1">
        <v>4</v>
      </c>
      <c r="B113" s="2" t="s">
        <v>223</v>
      </c>
      <c r="C113" s="2" t="s">
        <v>224</v>
      </c>
      <c r="D113" s="2">
        <v>833</v>
      </c>
      <c r="E113" s="2">
        <v>817</v>
      </c>
      <c r="F113" s="2">
        <v>1650</v>
      </c>
    </row>
    <row r="114" spans="1:6" x14ac:dyDescent="0.25">
      <c r="A114" s="1">
        <v>4</v>
      </c>
      <c r="B114" s="2" t="s">
        <v>225</v>
      </c>
      <c r="C114" s="2" t="s">
        <v>214</v>
      </c>
      <c r="D114" s="2">
        <v>1241</v>
      </c>
      <c r="E114" s="2">
        <v>1174</v>
      </c>
      <c r="F114" s="2">
        <v>2415</v>
      </c>
    </row>
    <row r="115" spans="1:6" x14ac:dyDescent="0.25">
      <c r="A115" s="1">
        <v>4</v>
      </c>
      <c r="B115" s="2" t="s">
        <v>226</v>
      </c>
      <c r="C115" s="2" t="s">
        <v>130</v>
      </c>
      <c r="D115" s="2">
        <v>981</v>
      </c>
      <c r="E115" s="2">
        <v>978</v>
      </c>
      <c r="F115" s="2">
        <v>1959</v>
      </c>
    </row>
    <row r="116" spans="1:6" x14ac:dyDescent="0.25">
      <c r="A116" s="1">
        <v>4</v>
      </c>
      <c r="B116" s="2" t="s">
        <v>227</v>
      </c>
      <c r="C116" s="2" t="s">
        <v>228</v>
      </c>
      <c r="D116" s="2">
        <v>918</v>
      </c>
      <c r="E116" s="2">
        <v>871</v>
      </c>
      <c r="F116" s="2">
        <v>1789</v>
      </c>
    </row>
    <row r="117" spans="1:6" x14ac:dyDescent="0.25">
      <c r="A117" s="1">
        <v>4</v>
      </c>
      <c r="B117" s="2" t="s">
        <v>229</v>
      </c>
      <c r="C117" s="2" t="s">
        <v>230</v>
      </c>
      <c r="D117" s="2">
        <v>1317</v>
      </c>
      <c r="E117" s="2">
        <v>1166</v>
      </c>
      <c r="F117" s="2">
        <v>2483</v>
      </c>
    </row>
    <row r="118" spans="1:6" x14ac:dyDescent="0.25">
      <c r="A118" s="1">
        <v>4</v>
      </c>
      <c r="B118" s="2" t="s">
        <v>231</v>
      </c>
      <c r="C118" s="2" t="s">
        <v>232</v>
      </c>
      <c r="D118" s="2">
        <v>1715</v>
      </c>
      <c r="E118" s="2">
        <v>1644</v>
      </c>
      <c r="F118" s="2">
        <v>3359</v>
      </c>
    </row>
    <row r="119" spans="1:6" x14ac:dyDescent="0.25">
      <c r="A119" s="1">
        <v>4</v>
      </c>
      <c r="B119" s="2" t="s">
        <v>233</v>
      </c>
      <c r="C119" s="2" t="s">
        <v>234</v>
      </c>
      <c r="D119" s="2">
        <v>1905</v>
      </c>
      <c r="E119" s="2">
        <v>1828</v>
      </c>
      <c r="F119" s="2">
        <v>3733</v>
      </c>
    </row>
    <row r="120" spans="1:6" x14ac:dyDescent="0.25">
      <c r="A120" s="1">
        <v>4</v>
      </c>
      <c r="B120" s="2" t="s">
        <v>235</v>
      </c>
      <c r="C120" s="2" t="s">
        <v>236</v>
      </c>
      <c r="D120" s="2">
        <v>1037</v>
      </c>
      <c r="E120" s="2">
        <v>993</v>
      </c>
      <c r="F120" s="2">
        <v>2030</v>
      </c>
    </row>
    <row r="121" spans="1:6" x14ac:dyDescent="0.25">
      <c r="A121" s="1">
        <v>4</v>
      </c>
      <c r="B121" s="2" t="s">
        <v>237</v>
      </c>
      <c r="C121" s="2" t="s">
        <v>238</v>
      </c>
      <c r="D121" s="2">
        <v>1599</v>
      </c>
      <c r="E121" s="2">
        <v>1609</v>
      </c>
      <c r="F121" s="2">
        <v>3208</v>
      </c>
    </row>
    <row r="122" spans="1:6" x14ac:dyDescent="0.25">
      <c r="A122" s="1">
        <v>4</v>
      </c>
      <c r="B122" s="2" t="s">
        <v>239</v>
      </c>
      <c r="C122" s="2" t="s">
        <v>240</v>
      </c>
      <c r="D122" s="2">
        <v>1478</v>
      </c>
      <c r="E122" s="2">
        <v>1439</v>
      </c>
      <c r="F122" s="2">
        <v>2917</v>
      </c>
    </row>
    <row r="123" spans="1:6" x14ac:dyDescent="0.25">
      <c r="A123" s="1">
        <v>4</v>
      </c>
      <c r="B123" s="2" t="s">
        <v>241</v>
      </c>
      <c r="C123" s="2" t="s">
        <v>242</v>
      </c>
      <c r="D123" s="2">
        <v>1129</v>
      </c>
      <c r="E123" s="2">
        <v>1024</v>
      </c>
      <c r="F123" s="2">
        <v>2153</v>
      </c>
    </row>
    <row r="124" spans="1:6" x14ac:dyDescent="0.25">
      <c r="A124" s="1">
        <v>4</v>
      </c>
      <c r="B124" s="2" t="s">
        <v>243</v>
      </c>
      <c r="C124" s="2" t="s">
        <v>244</v>
      </c>
      <c r="D124" s="2">
        <v>1864</v>
      </c>
      <c r="E124" s="2">
        <v>1778</v>
      </c>
      <c r="F124" s="2">
        <v>3642</v>
      </c>
    </row>
    <row r="125" spans="1:6" x14ac:dyDescent="0.25">
      <c r="A125" s="1">
        <v>4</v>
      </c>
      <c r="B125" s="2" t="s">
        <v>245</v>
      </c>
      <c r="C125" s="2" t="s">
        <v>98</v>
      </c>
      <c r="D125" s="2">
        <v>478</v>
      </c>
      <c r="E125" s="2">
        <v>473</v>
      </c>
      <c r="F125" s="2">
        <v>951</v>
      </c>
    </row>
    <row r="126" spans="1:6" x14ac:dyDescent="0.25">
      <c r="A126" s="1">
        <v>4</v>
      </c>
      <c r="B126" s="2" t="s">
        <v>246</v>
      </c>
      <c r="C126" s="2" t="s">
        <v>247</v>
      </c>
      <c r="D126" s="2">
        <v>1315</v>
      </c>
      <c r="E126" s="2">
        <v>1263</v>
      </c>
      <c r="F126" s="2">
        <v>2578</v>
      </c>
    </row>
    <row r="127" spans="1:6" x14ac:dyDescent="0.25">
      <c r="A127" s="1">
        <v>4</v>
      </c>
      <c r="B127" s="2" t="s">
        <v>248</v>
      </c>
      <c r="C127" s="2" t="s">
        <v>249</v>
      </c>
      <c r="D127" s="2">
        <v>1196</v>
      </c>
      <c r="E127" s="2">
        <v>1160</v>
      </c>
      <c r="F127" s="2">
        <v>2356</v>
      </c>
    </row>
    <row r="128" spans="1:6" x14ac:dyDescent="0.25">
      <c r="A128" s="1">
        <v>4</v>
      </c>
      <c r="B128" s="2" t="s">
        <v>250</v>
      </c>
      <c r="C128" s="2" t="s">
        <v>251</v>
      </c>
      <c r="D128" s="2">
        <v>792</v>
      </c>
      <c r="E128" s="2">
        <v>735</v>
      </c>
      <c r="F128" s="2">
        <v>1527</v>
      </c>
    </row>
    <row r="129" spans="1:6" x14ac:dyDescent="0.25">
      <c r="A129" s="1">
        <v>3</v>
      </c>
      <c r="B129" s="2" t="s">
        <v>252</v>
      </c>
      <c r="C129" s="2" t="s">
        <v>253</v>
      </c>
      <c r="D129" s="2">
        <v>24606</v>
      </c>
      <c r="E129" s="2">
        <v>23458</v>
      </c>
      <c r="F129" s="2">
        <v>48064</v>
      </c>
    </row>
    <row r="130" spans="1:6" x14ac:dyDescent="0.25">
      <c r="A130" s="1">
        <v>4</v>
      </c>
      <c r="B130" s="2" t="s">
        <v>254</v>
      </c>
      <c r="C130" s="2" t="s">
        <v>255</v>
      </c>
      <c r="D130" s="2">
        <v>1375</v>
      </c>
      <c r="E130" s="2">
        <v>1393</v>
      </c>
      <c r="F130" s="2">
        <v>2768</v>
      </c>
    </row>
    <row r="131" spans="1:6" x14ac:dyDescent="0.25">
      <c r="A131" s="1">
        <v>4</v>
      </c>
      <c r="B131" s="2" t="s">
        <v>256</v>
      </c>
      <c r="C131" s="2" t="s">
        <v>257</v>
      </c>
      <c r="D131" s="2">
        <v>1179</v>
      </c>
      <c r="E131" s="2">
        <v>1167</v>
      </c>
      <c r="F131" s="2">
        <v>2346</v>
      </c>
    </row>
    <row r="132" spans="1:6" x14ac:dyDescent="0.25">
      <c r="A132" s="1">
        <v>4</v>
      </c>
      <c r="B132" s="2" t="s">
        <v>258</v>
      </c>
      <c r="C132" s="2" t="s">
        <v>253</v>
      </c>
      <c r="D132" s="2">
        <v>1746</v>
      </c>
      <c r="E132" s="2">
        <v>1687</v>
      </c>
      <c r="F132" s="2">
        <v>3433</v>
      </c>
    </row>
    <row r="133" spans="1:6" x14ac:dyDescent="0.25">
      <c r="A133" s="1">
        <v>4</v>
      </c>
      <c r="B133" s="2" t="s">
        <v>259</v>
      </c>
      <c r="C133" s="2" t="s">
        <v>260</v>
      </c>
      <c r="D133" s="2">
        <v>1281</v>
      </c>
      <c r="E133" s="2">
        <v>1173</v>
      </c>
      <c r="F133" s="2">
        <v>2454</v>
      </c>
    </row>
    <row r="134" spans="1:6" x14ac:dyDescent="0.25">
      <c r="A134" s="1">
        <v>4</v>
      </c>
      <c r="B134" s="2" t="s">
        <v>261</v>
      </c>
      <c r="C134" s="2" t="s">
        <v>262</v>
      </c>
      <c r="D134" s="2">
        <v>2157</v>
      </c>
      <c r="E134" s="2">
        <v>2078</v>
      </c>
      <c r="F134" s="2">
        <v>4235</v>
      </c>
    </row>
    <row r="135" spans="1:6" x14ac:dyDescent="0.25">
      <c r="A135" s="1">
        <v>4</v>
      </c>
      <c r="B135" s="2" t="s">
        <v>263</v>
      </c>
      <c r="C135" s="2" t="s">
        <v>264</v>
      </c>
      <c r="D135" s="2">
        <v>1568</v>
      </c>
      <c r="E135" s="2">
        <v>1524</v>
      </c>
      <c r="F135" s="2">
        <v>3092</v>
      </c>
    </row>
    <row r="136" spans="1:6" x14ac:dyDescent="0.25">
      <c r="A136" s="1">
        <v>4</v>
      </c>
      <c r="B136" s="2" t="s">
        <v>265</v>
      </c>
      <c r="C136" s="2" t="s">
        <v>266</v>
      </c>
      <c r="D136" s="2">
        <v>1265</v>
      </c>
      <c r="E136" s="2">
        <v>1177</v>
      </c>
      <c r="F136" s="2">
        <v>2442</v>
      </c>
    </row>
    <row r="137" spans="1:6" x14ac:dyDescent="0.25">
      <c r="A137" s="1">
        <v>4</v>
      </c>
      <c r="B137" s="2" t="s">
        <v>267</v>
      </c>
      <c r="C137" s="2" t="s">
        <v>268</v>
      </c>
      <c r="D137" s="2">
        <v>2055</v>
      </c>
      <c r="E137" s="2">
        <v>1861</v>
      </c>
      <c r="F137" s="2">
        <v>3916</v>
      </c>
    </row>
    <row r="138" spans="1:6" x14ac:dyDescent="0.25">
      <c r="A138" s="1">
        <v>4</v>
      </c>
      <c r="B138" s="2" t="s">
        <v>269</v>
      </c>
      <c r="C138" s="2" t="s">
        <v>270</v>
      </c>
      <c r="D138" s="2">
        <v>581</v>
      </c>
      <c r="E138" s="2">
        <v>585</v>
      </c>
      <c r="F138" s="2">
        <v>1166</v>
      </c>
    </row>
    <row r="139" spans="1:6" x14ac:dyDescent="0.25">
      <c r="A139" s="1">
        <v>4</v>
      </c>
      <c r="B139" s="2" t="s">
        <v>271</v>
      </c>
      <c r="C139" s="2" t="s">
        <v>272</v>
      </c>
      <c r="D139" s="2">
        <v>1227</v>
      </c>
      <c r="E139" s="2">
        <v>1187</v>
      </c>
      <c r="F139" s="2">
        <v>2414</v>
      </c>
    </row>
    <row r="140" spans="1:6" x14ac:dyDescent="0.25">
      <c r="A140" s="1">
        <v>4</v>
      </c>
      <c r="B140" s="2" t="s">
        <v>273</v>
      </c>
      <c r="C140" s="2" t="s">
        <v>274</v>
      </c>
      <c r="D140" s="2">
        <v>2223</v>
      </c>
      <c r="E140" s="2">
        <v>2054</v>
      </c>
      <c r="F140" s="2">
        <v>4277</v>
      </c>
    </row>
    <row r="141" spans="1:6" x14ac:dyDescent="0.25">
      <c r="A141" s="1">
        <v>4</v>
      </c>
      <c r="B141" s="2" t="s">
        <v>275</v>
      </c>
      <c r="C141" s="2" t="s">
        <v>276</v>
      </c>
      <c r="D141" s="2">
        <v>1597</v>
      </c>
      <c r="E141" s="2">
        <v>1498</v>
      </c>
      <c r="F141" s="2">
        <v>3095</v>
      </c>
    </row>
    <row r="142" spans="1:6" x14ac:dyDescent="0.25">
      <c r="A142" s="1">
        <v>4</v>
      </c>
      <c r="B142" s="2" t="s">
        <v>277</v>
      </c>
      <c r="C142" s="2" t="s">
        <v>278</v>
      </c>
      <c r="D142" s="2">
        <v>2085</v>
      </c>
      <c r="E142" s="2">
        <v>1945</v>
      </c>
      <c r="F142" s="2">
        <v>4030</v>
      </c>
    </row>
    <row r="143" spans="1:6" x14ac:dyDescent="0.25">
      <c r="A143" s="1">
        <v>4</v>
      </c>
      <c r="B143" s="2" t="s">
        <v>279</v>
      </c>
      <c r="C143" s="2" t="s">
        <v>280</v>
      </c>
      <c r="D143" s="2">
        <v>955</v>
      </c>
      <c r="E143" s="2">
        <v>958</v>
      </c>
      <c r="F143" s="2">
        <v>1913</v>
      </c>
    </row>
    <row r="144" spans="1:6" x14ac:dyDescent="0.25">
      <c r="A144" s="1">
        <v>4</v>
      </c>
      <c r="B144" s="2" t="s">
        <v>281</v>
      </c>
      <c r="C144" s="2" t="s">
        <v>282</v>
      </c>
      <c r="D144" s="2">
        <v>1492</v>
      </c>
      <c r="E144" s="2">
        <v>1464</v>
      </c>
      <c r="F144" s="2">
        <v>2956</v>
      </c>
    </row>
    <row r="145" spans="1:6" x14ac:dyDescent="0.25">
      <c r="A145" s="1">
        <v>4</v>
      </c>
      <c r="B145" s="2" t="s">
        <v>283</v>
      </c>
      <c r="C145" s="2" t="s">
        <v>284</v>
      </c>
      <c r="D145" s="2">
        <v>1268</v>
      </c>
      <c r="E145" s="2">
        <v>1178</v>
      </c>
      <c r="F145" s="2">
        <v>2446</v>
      </c>
    </row>
    <row r="146" spans="1:6" x14ac:dyDescent="0.25">
      <c r="A146" s="1">
        <v>4</v>
      </c>
      <c r="B146" s="2" t="s">
        <v>285</v>
      </c>
      <c r="C146" s="2" t="s">
        <v>286</v>
      </c>
      <c r="D146" s="2">
        <v>552</v>
      </c>
      <c r="E146" s="2">
        <v>529</v>
      </c>
      <c r="F146" s="2">
        <v>1081</v>
      </c>
    </row>
    <row r="147" spans="1:6" x14ac:dyDescent="0.25">
      <c r="A147" s="1">
        <v>3</v>
      </c>
      <c r="B147" s="2" t="s">
        <v>287</v>
      </c>
      <c r="C147" s="2" t="s">
        <v>288</v>
      </c>
      <c r="D147" s="2">
        <v>18104</v>
      </c>
      <c r="E147" s="2">
        <v>17712</v>
      </c>
      <c r="F147" s="2">
        <v>35816</v>
      </c>
    </row>
    <row r="148" spans="1:6" x14ac:dyDescent="0.25">
      <c r="A148" s="1">
        <v>4</v>
      </c>
      <c r="B148" s="2" t="s">
        <v>289</v>
      </c>
      <c r="C148" s="2" t="s">
        <v>290</v>
      </c>
      <c r="D148" s="2">
        <v>1396</v>
      </c>
      <c r="E148" s="2">
        <v>1396</v>
      </c>
      <c r="F148" s="2">
        <v>2792</v>
      </c>
    </row>
    <row r="149" spans="1:6" x14ac:dyDescent="0.25">
      <c r="A149" s="1">
        <v>4</v>
      </c>
      <c r="B149" s="2" t="s">
        <v>291</v>
      </c>
      <c r="C149" s="2" t="s">
        <v>292</v>
      </c>
      <c r="D149" s="2">
        <v>1270</v>
      </c>
      <c r="E149" s="2">
        <v>1316</v>
      </c>
      <c r="F149" s="2">
        <v>2586</v>
      </c>
    </row>
    <row r="150" spans="1:6" x14ac:dyDescent="0.25">
      <c r="A150" s="1">
        <v>4</v>
      </c>
      <c r="B150" s="2" t="s">
        <v>293</v>
      </c>
      <c r="C150" s="2" t="s">
        <v>294</v>
      </c>
      <c r="D150" s="2">
        <v>1084</v>
      </c>
      <c r="E150" s="2">
        <v>1104</v>
      </c>
      <c r="F150" s="2">
        <v>2188</v>
      </c>
    </row>
    <row r="151" spans="1:6" x14ac:dyDescent="0.25">
      <c r="A151" s="1">
        <v>4</v>
      </c>
      <c r="B151" s="2" t="s">
        <v>295</v>
      </c>
      <c r="C151" s="2" t="s">
        <v>288</v>
      </c>
      <c r="D151" s="2">
        <v>1664</v>
      </c>
      <c r="E151" s="2">
        <v>1708</v>
      </c>
      <c r="F151" s="2">
        <v>3372</v>
      </c>
    </row>
    <row r="152" spans="1:6" x14ac:dyDescent="0.25">
      <c r="A152" s="1">
        <v>4</v>
      </c>
      <c r="B152" s="2" t="s">
        <v>296</v>
      </c>
      <c r="C152" s="2" t="s">
        <v>297</v>
      </c>
      <c r="D152" s="2">
        <v>1807</v>
      </c>
      <c r="E152" s="2">
        <v>1711</v>
      </c>
      <c r="F152" s="2">
        <v>3518</v>
      </c>
    </row>
    <row r="153" spans="1:6" x14ac:dyDescent="0.25">
      <c r="A153" s="1">
        <v>4</v>
      </c>
      <c r="B153" s="2" t="s">
        <v>298</v>
      </c>
      <c r="C153" s="2" t="s">
        <v>299</v>
      </c>
      <c r="D153" s="2">
        <v>3228</v>
      </c>
      <c r="E153" s="2">
        <v>3034</v>
      </c>
      <c r="F153" s="2">
        <v>6262</v>
      </c>
    </row>
    <row r="154" spans="1:6" x14ac:dyDescent="0.25">
      <c r="A154" s="1">
        <v>4</v>
      </c>
      <c r="B154" s="2" t="s">
        <v>300</v>
      </c>
      <c r="C154" s="2" t="s">
        <v>301</v>
      </c>
      <c r="D154" s="2">
        <v>1655</v>
      </c>
      <c r="E154" s="2">
        <v>1576</v>
      </c>
      <c r="F154" s="2">
        <v>3231</v>
      </c>
    </row>
    <row r="155" spans="1:6" x14ac:dyDescent="0.25">
      <c r="A155" s="1">
        <v>4</v>
      </c>
      <c r="B155" s="2" t="s">
        <v>302</v>
      </c>
      <c r="C155" s="2" t="s">
        <v>303</v>
      </c>
      <c r="D155" s="2">
        <v>2003</v>
      </c>
      <c r="E155" s="2">
        <v>1937</v>
      </c>
      <c r="F155" s="2">
        <v>3940</v>
      </c>
    </row>
    <row r="156" spans="1:6" x14ac:dyDescent="0.25">
      <c r="A156" s="1">
        <v>4</v>
      </c>
      <c r="B156" s="2" t="s">
        <v>304</v>
      </c>
      <c r="C156" s="2" t="s">
        <v>305</v>
      </c>
      <c r="D156" s="2">
        <v>1574</v>
      </c>
      <c r="E156" s="2">
        <v>1576</v>
      </c>
      <c r="F156" s="2">
        <v>3150</v>
      </c>
    </row>
    <row r="157" spans="1:6" x14ac:dyDescent="0.25">
      <c r="A157" s="1">
        <v>4</v>
      </c>
      <c r="B157" s="2" t="s">
        <v>306</v>
      </c>
      <c r="C157" s="2" t="s">
        <v>307</v>
      </c>
      <c r="D157" s="2">
        <v>1539</v>
      </c>
      <c r="E157" s="2">
        <v>1505</v>
      </c>
      <c r="F157" s="2">
        <v>3044</v>
      </c>
    </row>
    <row r="158" spans="1:6" x14ac:dyDescent="0.25">
      <c r="A158" s="1">
        <v>4</v>
      </c>
      <c r="B158" s="2" t="s">
        <v>308</v>
      </c>
      <c r="C158" s="2" t="s">
        <v>309</v>
      </c>
      <c r="D158" s="2">
        <v>884</v>
      </c>
      <c r="E158" s="2">
        <v>849</v>
      </c>
      <c r="F158" s="2">
        <v>1733</v>
      </c>
    </row>
    <row r="159" spans="1:6" x14ac:dyDescent="0.25">
      <c r="A159" s="1">
        <v>3</v>
      </c>
      <c r="B159" s="2" t="s">
        <v>310</v>
      </c>
      <c r="C159" s="2" t="s">
        <v>311</v>
      </c>
      <c r="D159" s="2">
        <v>28921</v>
      </c>
      <c r="E159" s="2">
        <v>28338</v>
      </c>
      <c r="F159" s="2">
        <v>57259</v>
      </c>
    </row>
    <row r="160" spans="1:6" x14ac:dyDescent="0.25">
      <c r="A160" s="1">
        <v>4</v>
      </c>
      <c r="B160" s="2" t="s">
        <v>312</v>
      </c>
      <c r="C160" s="2" t="s">
        <v>313</v>
      </c>
      <c r="D160" s="2">
        <v>3269</v>
      </c>
      <c r="E160" s="2">
        <v>3281</v>
      </c>
      <c r="F160" s="2">
        <v>6550</v>
      </c>
    </row>
    <row r="161" spans="1:6" x14ac:dyDescent="0.25">
      <c r="A161" s="1">
        <v>4</v>
      </c>
      <c r="B161" s="2" t="s">
        <v>314</v>
      </c>
      <c r="C161" s="2" t="s">
        <v>315</v>
      </c>
      <c r="D161" s="2">
        <v>3465</v>
      </c>
      <c r="E161" s="2">
        <v>3204</v>
      </c>
      <c r="F161" s="2">
        <v>6669</v>
      </c>
    </row>
    <row r="162" spans="1:6" x14ac:dyDescent="0.25">
      <c r="A162" s="1">
        <v>4</v>
      </c>
      <c r="B162" s="2" t="s">
        <v>316</v>
      </c>
      <c r="C162" s="2" t="s">
        <v>317</v>
      </c>
      <c r="D162" s="2">
        <v>2471</v>
      </c>
      <c r="E162" s="2">
        <v>2422</v>
      </c>
      <c r="F162" s="2">
        <v>4893</v>
      </c>
    </row>
    <row r="163" spans="1:6" x14ac:dyDescent="0.25">
      <c r="A163" s="1">
        <v>4</v>
      </c>
      <c r="B163" s="2" t="s">
        <v>318</v>
      </c>
      <c r="C163" s="2" t="s">
        <v>311</v>
      </c>
      <c r="D163" s="2">
        <v>2512</v>
      </c>
      <c r="E163" s="2">
        <v>2408</v>
      </c>
      <c r="F163" s="2">
        <v>4920</v>
      </c>
    </row>
    <row r="164" spans="1:6" x14ac:dyDescent="0.25">
      <c r="A164" s="1">
        <v>4</v>
      </c>
      <c r="B164" s="2" t="s">
        <v>319</v>
      </c>
      <c r="C164" s="2" t="s">
        <v>320</v>
      </c>
      <c r="D164" s="2">
        <v>3291</v>
      </c>
      <c r="E164" s="2">
        <v>3302</v>
      </c>
      <c r="F164" s="2">
        <v>6593</v>
      </c>
    </row>
    <row r="165" spans="1:6" x14ac:dyDescent="0.25">
      <c r="A165" s="1">
        <v>4</v>
      </c>
      <c r="B165" s="2" t="s">
        <v>321</v>
      </c>
      <c r="C165" s="2" t="s">
        <v>149</v>
      </c>
      <c r="D165" s="2">
        <v>2471</v>
      </c>
      <c r="E165" s="2">
        <v>2474</v>
      </c>
      <c r="F165" s="2">
        <v>4945</v>
      </c>
    </row>
    <row r="166" spans="1:6" x14ac:dyDescent="0.25">
      <c r="A166" s="1">
        <v>4</v>
      </c>
      <c r="B166" s="2" t="s">
        <v>322</v>
      </c>
      <c r="C166" s="2" t="s">
        <v>323</v>
      </c>
      <c r="D166" s="2">
        <v>2306</v>
      </c>
      <c r="E166" s="2">
        <v>2322</v>
      </c>
      <c r="F166" s="2">
        <v>4628</v>
      </c>
    </row>
    <row r="167" spans="1:6" x14ac:dyDescent="0.25">
      <c r="A167" s="1">
        <v>4</v>
      </c>
      <c r="B167" s="2" t="s">
        <v>324</v>
      </c>
      <c r="C167" s="2" t="s">
        <v>325</v>
      </c>
      <c r="D167" s="2">
        <v>2718</v>
      </c>
      <c r="E167" s="2">
        <v>2712</v>
      </c>
      <c r="F167" s="2">
        <v>5430</v>
      </c>
    </row>
    <row r="168" spans="1:6" x14ac:dyDescent="0.25">
      <c r="A168" s="1">
        <v>4</v>
      </c>
      <c r="B168" s="2" t="s">
        <v>326</v>
      </c>
      <c r="C168" s="2" t="s">
        <v>327</v>
      </c>
      <c r="D168" s="2">
        <v>1858</v>
      </c>
      <c r="E168" s="2">
        <v>1774</v>
      </c>
      <c r="F168" s="2">
        <v>3632</v>
      </c>
    </row>
    <row r="169" spans="1:6" x14ac:dyDescent="0.25">
      <c r="A169" s="1">
        <v>4</v>
      </c>
      <c r="B169" s="2" t="s">
        <v>328</v>
      </c>
      <c r="C169" s="2" t="s">
        <v>329</v>
      </c>
      <c r="D169" s="2">
        <v>1063</v>
      </c>
      <c r="E169" s="2">
        <v>1082</v>
      </c>
      <c r="F169" s="2">
        <v>2145</v>
      </c>
    </row>
    <row r="170" spans="1:6" x14ac:dyDescent="0.25">
      <c r="A170" s="1">
        <v>4</v>
      </c>
      <c r="B170" s="2" t="s">
        <v>330</v>
      </c>
      <c r="C170" s="2" t="s">
        <v>331</v>
      </c>
      <c r="D170" s="2">
        <v>3497</v>
      </c>
      <c r="E170" s="2">
        <v>3357</v>
      </c>
      <c r="F170" s="2">
        <v>6854</v>
      </c>
    </row>
    <row r="171" spans="1:6" x14ac:dyDescent="0.25">
      <c r="A171" s="1">
        <v>3</v>
      </c>
      <c r="B171" s="2" t="s">
        <v>332</v>
      </c>
      <c r="C171" s="2" t="s">
        <v>333</v>
      </c>
      <c r="D171" s="2">
        <v>47894</v>
      </c>
      <c r="E171" s="2">
        <v>45601</v>
      </c>
      <c r="F171" s="2">
        <v>93495</v>
      </c>
    </row>
    <row r="172" spans="1:6" x14ac:dyDescent="0.25">
      <c r="A172" s="1">
        <v>4</v>
      </c>
      <c r="B172" s="2" t="s">
        <v>334</v>
      </c>
      <c r="C172" s="2" t="s">
        <v>335</v>
      </c>
      <c r="D172" s="2">
        <v>2638</v>
      </c>
      <c r="E172" s="2">
        <v>2575</v>
      </c>
      <c r="F172" s="2">
        <v>5213</v>
      </c>
    </row>
    <row r="173" spans="1:6" x14ac:dyDescent="0.25">
      <c r="A173" s="1">
        <v>4</v>
      </c>
      <c r="B173" s="2" t="s">
        <v>336</v>
      </c>
      <c r="C173" s="2" t="s">
        <v>337</v>
      </c>
      <c r="D173" s="2">
        <v>3297</v>
      </c>
      <c r="E173" s="2">
        <v>3235</v>
      </c>
      <c r="F173" s="2">
        <v>6532</v>
      </c>
    </row>
    <row r="174" spans="1:6" x14ac:dyDescent="0.25">
      <c r="A174" s="1">
        <v>4</v>
      </c>
      <c r="B174" s="2" t="s">
        <v>338</v>
      </c>
      <c r="C174" s="2" t="s">
        <v>339</v>
      </c>
      <c r="D174" s="2">
        <v>1934</v>
      </c>
      <c r="E174" s="2">
        <v>1823</v>
      </c>
      <c r="F174" s="2">
        <v>3757</v>
      </c>
    </row>
    <row r="175" spans="1:6" x14ac:dyDescent="0.25">
      <c r="A175" s="1">
        <v>4</v>
      </c>
      <c r="B175" s="2" t="s">
        <v>340</v>
      </c>
      <c r="C175" s="2" t="s">
        <v>341</v>
      </c>
      <c r="D175" s="2">
        <v>3239</v>
      </c>
      <c r="E175" s="2">
        <v>3085</v>
      </c>
      <c r="F175" s="2">
        <v>6324</v>
      </c>
    </row>
    <row r="176" spans="1:6" x14ac:dyDescent="0.25">
      <c r="A176" s="1">
        <v>4</v>
      </c>
      <c r="B176" s="2" t="s">
        <v>342</v>
      </c>
      <c r="C176" s="2" t="s">
        <v>343</v>
      </c>
      <c r="D176" s="2">
        <v>3021</v>
      </c>
      <c r="E176" s="2">
        <v>2876</v>
      </c>
      <c r="F176" s="2">
        <v>5897</v>
      </c>
    </row>
    <row r="177" spans="1:6" x14ac:dyDescent="0.25">
      <c r="A177" s="1">
        <v>4</v>
      </c>
      <c r="B177" s="2" t="s">
        <v>344</v>
      </c>
      <c r="C177" s="2" t="s">
        <v>345</v>
      </c>
      <c r="D177" s="2">
        <v>2140</v>
      </c>
      <c r="E177" s="2">
        <v>2059</v>
      </c>
      <c r="F177" s="2">
        <v>4199</v>
      </c>
    </row>
    <row r="178" spans="1:6" x14ac:dyDescent="0.25">
      <c r="A178" s="1">
        <v>4</v>
      </c>
      <c r="B178" s="2" t="s">
        <v>346</v>
      </c>
      <c r="C178" s="2" t="s">
        <v>347</v>
      </c>
      <c r="D178" s="2">
        <v>1878</v>
      </c>
      <c r="E178" s="2">
        <v>1749</v>
      </c>
      <c r="F178" s="2">
        <v>3627</v>
      </c>
    </row>
    <row r="179" spans="1:6" x14ac:dyDescent="0.25">
      <c r="A179" s="1">
        <v>4</v>
      </c>
      <c r="B179" s="2" t="s">
        <v>348</v>
      </c>
      <c r="C179" s="2" t="s">
        <v>349</v>
      </c>
      <c r="D179" s="2">
        <v>2599</v>
      </c>
      <c r="E179" s="2">
        <v>2462</v>
      </c>
      <c r="F179" s="2">
        <v>5061</v>
      </c>
    </row>
    <row r="180" spans="1:6" x14ac:dyDescent="0.25">
      <c r="A180" s="1">
        <v>4</v>
      </c>
      <c r="B180" s="2" t="s">
        <v>350</v>
      </c>
      <c r="C180" s="2" t="s">
        <v>351</v>
      </c>
      <c r="D180" s="2">
        <v>2811</v>
      </c>
      <c r="E180" s="2">
        <v>2686</v>
      </c>
      <c r="F180" s="2">
        <v>5497</v>
      </c>
    </row>
    <row r="181" spans="1:6" x14ac:dyDescent="0.25">
      <c r="A181" s="1">
        <v>4</v>
      </c>
      <c r="B181" s="2" t="s">
        <v>352</v>
      </c>
      <c r="C181" s="2" t="s">
        <v>333</v>
      </c>
      <c r="D181" s="2">
        <v>4347</v>
      </c>
      <c r="E181" s="2">
        <v>4245</v>
      </c>
      <c r="F181" s="2">
        <v>8592</v>
      </c>
    </row>
    <row r="182" spans="1:6" x14ac:dyDescent="0.25">
      <c r="A182" s="1">
        <v>4</v>
      </c>
      <c r="B182" s="2" t="s">
        <v>353</v>
      </c>
      <c r="C182" s="2" t="s">
        <v>354</v>
      </c>
      <c r="D182" s="2">
        <v>3394</v>
      </c>
      <c r="E182" s="2">
        <v>3211</v>
      </c>
      <c r="F182" s="2">
        <v>6605</v>
      </c>
    </row>
    <row r="183" spans="1:6" x14ac:dyDescent="0.25">
      <c r="A183" s="1">
        <v>4</v>
      </c>
      <c r="B183" s="2" t="s">
        <v>355</v>
      </c>
      <c r="C183" s="2" t="s">
        <v>356</v>
      </c>
      <c r="D183" s="2">
        <v>2739</v>
      </c>
      <c r="E183" s="2">
        <v>2559</v>
      </c>
      <c r="F183" s="2">
        <v>5298</v>
      </c>
    </row>
    <row r="184" spans="1:6" x14ac:dyDescent="0.25">
      <c r="A184" s="1">
        <v>4</v>
      </c>
      <c r="B184" s="2" t="s">
        <v>357</v>
      </c>
      <c r="C184" s="2" t="s">
        <v>358</v>
      </c>
      <c r="D184" s="2">
        <v>3782</v>
      </c>
      <c r="E184" s="2">
        <v>3700</v>
      </c>
      <c r="F184" s="2">
        <v>7482</v>
      </c>
    </row>
    <row r="185" spans="1:6" x14ac:dyDescent="0.25">
      <c r="A185" s="1">
        <v>4</v>
      </c>
      <c r="B185" s="2" t="s">
        <v>359</v>
      </c>
      <c r="C185" s="2" t="s">
        <v>360</v>
      </c>
      <c r="D185" s="2">
        <v>3203</v>
      </c>
      <c r="E185" s="2">
        <v>2968</v>
      </c>
      <c r="F185" s="2">
        <v>6171</v>
      </c>
    </row>
    <row r="186" spans="1:6" x14ac:dyDescent="0.25">
      <c r="A186" s="1">
        <v>4</v>
      </c>
      <c r="B186" s="2" t="s">
        <v>361</v>
      </c>
      <c r="C186" s="2" t="s">
        <v>362</v>
      </c>
      <c r="D186" s="2">
        <v>2570</v>
      </c>
      <c r="E186" s="2">
        <v>2449</v>
      </c>
      <c r="F186" s="2">
        <v>5019</v>
      </c>
    </row>
    <row r="187" spans="1:6" x14ac:dyDescent="0.25">
      <c r="A187" s="1">
        <v>4</v>
      </c>
      <c r="B187" s="2" t="s">
        <v>363</v>
      </c>
      <c r="C187" s="2" t="s">
        <v>364</v>
      </c>
      <c r="D187" s="2">
        <v>2842</v>
      </c>
      <c r="E187" s="2">
        <v>2632</v>
      </c>
      <c r="F187" s="2">
        <v>5474</v>
      </c>
    </row>
    <row r="188" spans="1:6" x14ac:dyDescent="0.25">
      <c r="A188" s="1">
        <v>4</v>
      </c>
      <c r="B188" s="2" t="s">
        <v>365</v>
      </c>
      <c r="C188" s="2" t="s">
        <v>366</v>
      </c>
      <c r="D188" s="2">
        <v>1460</v>
      </c>
      <c r="E188" s="2">
        <v>1287</v>
      </c>
      <c r="F188" s="2">
        <v>2747</v>
      </c>
    </row>
    <row r="189" spans="1:6" x14ac:dyDescent="0.25">
      <c r="A189" s="1">
        <v>3</v>
      </c>
      <c r="B189" s="2" t="s">
        <v>367</v>
      </c>
      <c r="C189" s="2" t="s">
        <v>368</v>
      </c>
      <c r="D189" s="2">
        <v>17252</v>
      </c>
      <c r="E189" s="2">
        <v>16145</v>
      </c>
      <c r="F189" s="2">
        <v>33397</v>
      </c>
    </row>
    <row r="190" spans="1:6" x14ac:dyDescent="0.25">
      <c r="A190" s="1">
        <v>4</v>
      </c>
      <c r="B190" s="2" t="s">
        <v>369</v>
      </c>
      <c r="C190" s="2" t="s">
        <v>370</v>
      </c>
      <c r="D190" s="2">
        <v>790</v>
      </c>
      <c r="E190" s="2">
        <v>718</v>
      </c>
      <c r="F190" s="2">
        <v>1508</v>
      </c>
    </row>
    <row r="191" spans="1:6" x14ac:dyDescent="0.25">
      <c r="A191" s="1">
        <v>4</v>
      </c>
      <c r="B191" s="2" t="s">
        <v>371</v>
      </c>
      <c r="C191" s="2" t="s">
        <v>372</v>
      </c>
      <c r="D191" s="2">
        <v>531</v>
      </c>
      <c r="E191" s="2">
        <v>498</v>
      </c>
      <c r="F191" s="2">
        <v>1029</v>
      </c>
    </row>
    <row r="192" spans="1:6" x14ac:dyDescent="0.25">
      <c r="A192" s="1">
        <v>4</v>
      </c>
      <c r="B192" s="2" t="s">
        <v>373</v>
      </c>
      <c r="C192" s="2" t="s">
        <v>374</v>
      </c>
      <c r="D192" s="2">
        <v>1384</v>
      </c>
      <c r="E192" s="2">
        <v>1272</v>
      </c>
      <c r="F192" s="2">
        <v>2656</v>
      </c>
    </row>
    <row r="193" spans="1:6" x14ac:dyDescent="0.25">
      <c r="A193" s="1">
        <v>4</v>
      </c>
      <c r="B193" s="2" t="s">
        <v>375</v>
      </c>
      <c r="C193" s="2" t="s">
        <v>376</v>
      </c>
      <c r="D193" s="2">
        <v>1318</v>
      </c>
      <c r="E193" s="2">
        <v>1227</v>
      </c>
      <c r="F193" s="2">
        <v>2545</v>
      </c>
    </row>
    <row r="194" spans="1:6" x14ac:dyDescent="0.25">
      <c r="A194" s="1">
        <v>4</v>
      </c>
      <c r="B194" s="2" t="s">
        <v>377</v>
      </c>
      <c r="C194" s="2" t="s">
        <v>378</v>
      </c>
      <c r="D194" s="2">
        <v>1319</v>
      </c>
      <c r="E194" s="2">
        <v>1189</v>
      </c>
      <c r="F194" s="2">
        <v>2508</v>
      </c>
    </row>
    <row r="195" spans="1:6" x14ac:dyDescent="0.25">
      <c r="A195" s="1">
        <v>4</v>
      </c>
      <c r="B195" s="2" t="s">
        <v>379</v>
      </c>
      <c r="C195" s="2" t="s">
        <v>380</v>
      </c>
      <c r="D195" s="2">
        <v>1058</v>
      </c>
      <c r="E195" s="2">
        <v>994</v>
      </c>
      <c r="F195" s="2">
        <v>2052</v>
      </c>
    </row>
    <row r="196" spans="1:6" x14ac:dyDescent="0.25">
      <c r="A196" s="1">
        <v>4</v>
      </c>
      <c r="B196" s="2" t="s">
        <v>381</v>
      </c>
      <c r="C196" s="2" t="s">
        <v>382</v>
      </c>
      <c r="D196" s="2">
        <v>763</v>
      </c>
      <c r="E196" s="2">
        <v>714</v>
      </c>
      <c r="F196" s="2">
        <v>1477</v>
      </c>
    </row>
    <row r="197" spans="1:6" x14ac:dyDescent="0.25">
      <c r="A197" s="1">
        <v>4</v>
      </c>
      <c r="B197" s="2" t="s">
        <v>383</v>
      </c>
      <c r="C197" s="2" t="s">
        <v>384</v>
      </c>
      <c r="D197" s="2">
        <v>1398</v>
      </c>
      <c r="E197" s="2">
        <v>1302</v>
      </c>
      <c r="F197" s="2">
        <v>2700</v>
      </c>
    </row>
    <row r="198" spans="1:6" x14ac:dyDescent="0.25">
      <c r="A198" s="1">
        <v>4</v>
      </c>
      <c r="B198" s="2" t="s">
        <v>385</v>
      </c>
      <c r="C198" s="2" t="s">
        <v>386</v>
      </c>
      <c r="D198" s="2">
        <v>536</v>
      </c>
      <c r="E198" s="2">
        <v>483</v>
      </c>
      <c r="F198" s="2">
        <v>1019</v>
      </c>
    </row>
    <row r="199" spans="1:6" x14ac:dyDescent="0.25">
      <c r="A199" s="1">
        <v>4</v>
      </c>
      <c r="B199" s="2" t="s">
        <v>387</v>
      </c>
      <c r="C199" s="2" t="s">
        <v>388</v>
      </c>
      <c r="D199" s="2">
        <v>1365</v>
      </c>
      <c r="E199" s="2">
        <v>1274</v>
      </c>
      <c r="F199" s="2">
        <v>2639</v>
      </c>
    </row>
    <row r="200" spans="1:6" x14ac:dyDescent="0.25">
      <c r="A200" s="1">
        <v>4</v>
      </c>
      <c r="B200" s="2" t="s">
        <v>389</v>
      </c>
      <c r="C200" s="2" t="s">
        <v>390</v>
      </c>
      <c r="D200" s="2">
        <v>1595</v>
      </c>
      <c r="E200" s="2">
        <v>1494</v>
      </c>
      <c r="F200" s="2">
        <v>3089</v>
      </c>
    </row>
    <row r="201" spans="1:6" x14ac:dyDescent="0.25">
      <c r="A201" s="1">
        <v>4</v>
      </c>
      <c r="B201" s="2" t="s">
        <v>391</v>
      </c>
      <c r="C201" s="2" t="s">
        <v>368</v>
      </c>
      <c r="D201" s="2">
        <v>2838</v>
      </c>
      <c r="E201" s="2">
        <v>2710</v>
      </c>
      <c r="F201" s="2">
        <v>5548</v>
      </c>
    </row>
    <row r="202" spans="1:6" x14ac:dyDescent="0.25">
      <c r="A202" s="1">
        <v>4</v>
      </c>
      <c r="B202" s="2" t="s">
        <v>392</v>
      </c>
      <c r="C202" s="2" t="s">
        <v>393</v>
      </c>
      <c r="D202" s="2">
        <v>2357</v>
      </c>
      <c r="E202" s="2">
        <v>2270</v>
      </c>
      <c r="F202" s="2">
        <v>4627</v>
      </c>
    </row>
    <row r="203" spans="1:6" x14ac:dyDescent="0.25">
      <c r="A203" s="1">
        <v>3</v>
      </c>
      <c r="B203" s="2" t="s">
        <v>394</v>
      </c>
      <c r="C203" s="2" t="s">
        <v>395</v>
      </c>
      <c r="D203" s="2">
        <v>20917</v>
      </c>
      <c r="E203" s="2">
        <v>19996</v>
      </c>
      <c r="F203" s="2">
        <v>40913</v>
      </c>
    </row>
    <row r="204" spans="1:6" x14ac:dyDescent="0.25">
      <c r="A204" s="1">
        <v>4</v>
      </c>
      <c r="B204" s="2" t="s">
        <v>396</v>
      </c>
      <c r="C204" s="2" t="s">
        <v>397</v>
      </c>
      <c r="D204" s="2">
        <v>1067</v>
      </c>
      <c r="E204" s="2">
        <v>1006</v>
      </c>
      <c r="F204" s="2">
        <v>2073</v>
      </c>
    </row>
    <row r="205" spans="1:6" x14ac:dyDescent="0.25">
      <c r="A205" s="1">
        <v>4</v>
      </c>
      <c r="B205" s="2" t="s">
        <v>398</v>
      </c>
      <c r="C205" s="2" t="s">
        <v>399</v>
      </c>
      <c r="D205" s="2">
        <v>1031</v>
      </c>
      <c r="E205" s="2">
        <v>918</v>
      </c>
      <c r="F205" s="2">
        <v>1949</v>
      </c>
    </row>
    <row r="206" spans="1:6" x14ac:dyDescent="0.25">
      <c r="A206" s="1">
        <v>4</v>
      </c>
      <c r="B206" s="2" t="s">
        <v>400</v>
      </c>
      <c r="C206" s="2" t="s">
        <v>401</v>
      </c>
      <c r="D206" s="2">
        <v>1228</v>
      </c>
      <c r="E206" s="2">
        <v>1150</v>
      </c>
      <c r="F206" s="2">
        <v>2378</v>
      </c>
    </row>
    <row r="207" spans="1:6" x14ac:dyDescent="0.25">
      <c r="A207" s="1">
        <v>4</v>
      </c>
      <c r="B207" s="2" t="s">
        <v>402</v>
      </c>
      <c r="C207" s="2" t="s">
        <v>403</v>
      </c>
      <c r="D207" s="2">
        <v>946</v>
      </c>
      <c r="E207" s="2">
        <v>876</v>
      </c>
      <c r="F207" s="2">
        <v>1822</v>
      </c>
    </row>
    <row r="208" spans="1:6" x14ac:dyDescent="0.25">
      <c r="A208" s="1">
        <v>4</v>
      </c>
      <c r="B208" s="2" t="s">
        <v>404</v>
      </c>
      <c r="C208" s="2" t="s">
        <v>309</v>
      </c>
      <c r="D208" s="2">
        <v>1080</v>
      </c>
      <c r="E208" s="2">
        <v>1056</v>
      </c>
      <c r="F208" s="2">
        <v>2136</v>
      </c>
    </row>
    <row r="209" spans="1:6" x14ac:dyDescent="0.25">
      <c r="A209" s="1">
        <v>4</v>
      </c>
      <c r="B209" s="2" t="s">
        <v>405</v>
      </c>
      <c r="C209" s="2" t="s">
        <v>406</v>
      </c>
      <c r="D209" s="2">
        <v>1198</v>
      </c>
      <c r="E209" s="2">
        <v>1219</v>
      </c>
      <c r="F209" s="2">
        <v>2417</v>
      </c>
    </row>
    <row r="210" spans="1:6" x14ac:dyDescent="0.25">
      <c r="A210" s="1">
        <v>4</v>
      </c>
      <c r="B210" s="2" t="s">
        <v>407</v>
      </c>
      <c r="C210" s="2" t="s">
        <v>408</v>
      </c>
      <c r="D210" s="2">
        <v>1036</v>
      </c>
      <c r="E210" s="2">
        <v>930</v>
      </c>
      <c r="F210" s="2">
        <v>1966</v>
      </c>
    </row>
    <row r="211" spans="1:6" x14ac:dyDescent="0.25">
      <c r="A211" s="1">
        <v>4</v>
      </c>
      <c r="B211" s="2" t="s">
        <v>409</v>
      </c>
      <c r="C211" s="2" t="s">
        <v>410</v>
      </c>
      <c r="D211" s="2">
        <v>1069</v>
      </c>
      <c r="E211" s="2">
        <v>1001</v>
      </c>
      <c r="F211" s="2">
        <v>2070</v>
      </c>
    </row>
    <row r="212" spans="1:6" x14ac:dyDescent="0.25">
      <c r="A212" s="1">
        <v>4</v>
      </c>
      <c r="B212" s="2" t="s">
        <v>411</v>
      </c>
      <c r="C212" s="2" t="s">
        <v>412</v>
      </c>
      <c r="D212" s="2">
        <v>1217</v>
      </c>
      <c r="E212" s="2">
        <v>1151</v>
      </c>
      <c r="F212" s="2">
        <v>2368</v>
      </c>
    </row>
    <row r="213" spans="1:6" x14ac:dyDescent="0.25">
      <c r="A213" s="1">
        <v>4</v>
      </c>
      <c r="B213" s="2" t="s">
        <v>413</v>
      </c>
      <c r="C213" s="2" t="s">
        <v>414</v>
      </c>
      <c r="D213" s="2">
        <v>1545</v>
      </c>
      <c r="E213" s="2">
        <v>1427</v>
      </c>
      <c r="F213" s="2">
        <v>2972</v>
      </c>
    </row>
    <row r="214" spans="1:6" x14ac:dyDescent="0.25">
      <c r="A214" s="1">
        <v>4</v>
      </c>
      <c r="B214" s="2" t="s">
        <v>415</v>
      </c>
      <c r="C214" s="2" t="s">
        <v>416</v>
      </c>
      <c r="D214" s="2">
        <v>1194</v>
      </c>
      <c r="E214" s="2">
        <v>1158</v>
      </c>
      <c r="F214" s="2">
        <v>2352</v>
      </c>
    </row>
    <row r="215" spans="1:6" x14ac:dyDescent="0.25">
      <c r="A215" s="1">
        <v>4</v>
      </c>
      <c r="B215" s="2" t="s">
        <v>417</v>
      </c>
      <c r="C215" s="2" t="s">
        <v>395</v>
      </c>
      <c r="D215" s="2">
        <v>2575</v>
      </c>
      <c r="E215" s="2">
        <v>2569</v>
      </c>
      <c r="F215" s="2">
        <v>5144</v>
      </c>
    </row>
    <row r="216" spans="1:6" x14ac:dyDescent="0.25">
      <c r="A216" s="1">
        <v>4</v>
      </c>
      <c r="B216" s="2" t="s">
        <v>418</v>
      </c>
      <c r="C216" s="2" t="s">
        <v>419</v>
      </c>
      <c r="D216" s="2">
        <v>1108</v>
      </c>
      <c r="E216" s="2">
        <v>1113</v>
      </c>
      <c r="F216" s="2">
        <v>2221</v>
      </c>
    </row>
    <row r="217" spans="1:6" x14ac:dyDescent="0.25">
      <c r="A217" s="1">
        <v>4</v>
      </c>
      <c r="B217" s="2" t="s">
        <v>420</v>
      </c>
      <c r="C217" s="2" t="s">
        <v>421</v>
      </c>
      <c r="D217" s="2">
        <v>1691</v>
      </c>
      <c r="E217" s="2">
        <v>1610</v>
      </c>
      <c r="F217" s="2">
        <v>3301</v>
      </c>
    </row>
    <row r="218" spans="1:6" x14ac:dyDescent="0.25">
      <c r="A218" s="1">
        <v>4</v>
      </c>
      <c r="B218" s="2" t="s">
        <v>422</v>
      </c>
      <c r="C218" s="2" t="s">
        <v>423</v>
      </c>
      <c r="D218" s="2">
        <v>1909</v>
      </c>
      <c r="E218" s="2">
        <v>1845</v>
      </c>
      <c r="F218" s="2">
        <v>3754</v>
      </c>
    </row>
    <row r="219" spans="1:6" x14ac:dyDescent="0.25">
      <c r="A219" s="1">
        <v>4</v>
      </c>
      <c r="B219" s="2" t="s">
        <v>424</v>
      </c>
      <c r="C219" s="2" t="s">
        <v>425</v>
      </c>
      <c r="D219" s="2">
        <v>1023</v>
      </c>
      <c r="E219" s="2">
        <v>967</v>
      </c>
      <c r="F219" s="2">
        <v>1990</v>
      </c>
    </row>
    <row r="220" spans="1:6" x14ac:dyDescent="0.25">
      <c r="A220" s="1">
        <v>3</v>
      </c>
      <c r="B220" s="2" t="s">
        <v>426</v>
      </c>
      <c r="C220" s="2" t="s">
        <v>427</v>
      </c>
      <c r="D220" s="2">
        <v>24555</v>
      </c>
      <c r="E220" s="2">
        <v>22758</v>
      </c>
      <c r="F220" s="2">
        <v>47313</v>
      </c>
    </row>
    <row r="221" spans="1:6" x14ac:dyDescent="0.25">
      <c r="A221" s="1">
        <v>4</v>
      </c>
      <c r="B221" s="2" t="s">
        <v>428</v>
      </c>
      <c r="C221" s="2" t="s">
        <v>264</v>
      </c>
      <c r="D221" s="2">
        <v>639</v>
      </c>
      <c r="E221" s="2">
        <v>604</v>
      </c>
      <c r="F221" s="2">
        <v>1243</v>
      </c>
    </row>
    <row r="222" spans="1:6" x14ac:dyDescent="0.25">
      <c r="A222" s="1">
        <v>4</v>
      </c>
      <c r="B222" s="2" t="s">
        <v>429</v>
      </c>
      <c r="C222" s="2" t="s">
        <v>343</v>
      </c>
      <c r="D222" s="2">
        <v>1630</v>
      </c>
      <c r="E222" s="2">
        <v>1512</v>
      </c>
      <c r="F222" s="2">
        <v>3142</v>
      </c>
    </row>
    <row r="223" spans="1:6" x14ac:dyDescent="0.25">
      <c r="A223" s="1">
        <v>4</v>
      </c>
      <c r="B223" s="2" t="s">
        <v>430</v>
      </c>
      <c r="C223" s="2" t="s">
        <v>431</v>
      </c>
      <c r="D223" s="2">
        <v>998</v>
      </c>
      <c r="E223" s="2">
        <v>909</v>
      </c>
      <c r="F223" s="2">
        <v>1907</v>
      </c>
    </row>
    <row r="224" spans="1:6" x14ac:dyDescent="0.25">
      <c r="A224" s="1">
        <v>4</v>
      </c>
      <c r="B224" s="2" t="s">
        <v>432</v>
      </c>
      <c r="C224" s="2" t="s">
        <v>433</v>
      </c>
      <c r="D224" s="2">
        <v>1764</v>
      </c>
      <c r="E224" s="2">
        <v>1603</v>
      </c>
      <c r="F224" s="2">
        <v>3367</v>
      </c>
    </row>
    <row r="225" spans="1:6" x14ac:dyDescent="0.25">
      <c r="A225" s="1">
        <v>4</v>
      </c>
      <c r="B225" s="2" t="s">
        <v>434</v>
      </c>
      <c r="C225" s="2" t="s">
        <v>435</v>
      </c>
      <c r="D225" s="2">
        <v>1592</v>
      </c>
      <c r="E225" s="2">
        <v>1470</v>
      </c>
      <c r="F225" s="2">
        <v>3062</v>
      </c>
    </row>
    <row r="226" spans="1:6" x14ac:dyDescent="0.25">
      <c r="A226" s="1">
        <v>4</v>
      </c>
      <c r="B226" s="2" t="s">
        <v>436</v>
      </c>
      <c r="C226" s="2" t="s">
        <v>437</v>
      </c>
      <c r="D226" s="2">
        <v>988</v>
      </c>
      <c r="E226" s="2">
        <v>972</v>
      </c>
      <c r="F226" s="2">
        <v>1960</v>
      </c>
    </row>
    <row r="227" spans="1:6" x14ac:dyDescent="0.25">
      <c r="A227" s="1">
        <v>4</v>
      </c>
      <c r="B227" s="2" t="s">
        <v>438</v>
      </c>
      <c r="C227" s="2" t="s">
        <v>439</v>
      </c>
      <c r="D227" s="2">
        <v>854</v>
      </c>
      <c r="E227" s="2">
        <v>794</v>
      </c>
      <c r="F227" s="2">
        <v>1648</v>
      </c>
    </row>
    <row r="228" spans="1:6" x14ac:dyDescent="0.25">
      <c r="A228" s="1">
        <v>4</v>
      </c>
      <c r="B228" s="2" t="s">
        <v>440</v>
      </c>
      <c r="C228" s="2" t="s">
        <v>441</v>
      </c>
      <c r="D228" s="2">
        <v>2343</v>
      </c>
      <c r="E228" s="2">
        <v>2222</v>
      </c>
      <c r="F228" s="2">
        <v>4565</v>
      </c>
    </row>
    <row r="229" spans="1:6" x14ac:dyDescent="0.25">
      <c r="A229" s="1">
        <v>4</v>
      </c>
      <c r="B229" s="2" t="s">
        <v>442</v>
      </c>
      <c r="C229" s="2" t="s">
        <v>427</v>
      </c>
      <c r="D229" s="2">
        <v>2346</v>
      </c>
      <c r="E229" s="2">
        <v>2114</v>
      </c>
      <c r="F229" s="2">
        <v>4460</v>
      </c>
    </row>
    <row r="230" spans="1:6" x14ac:dyDescent="0.25">
      <c r="A230" s="1">
        <v>4</v>
      </c>
      <c r="B230" s="2" t="s">
        <v>443</v>
      </c>
      <c r="C230" s="2" t="s">
        <v>444</v>
      </c>
      <c r="D230" s="2">
        <v>2252</v>
      </c>
      <c r="E230" s="2">
        <v>2078</v>
      </c>
      <c r="F230" s="2">
        <v>4330</v>
      </c>
    </row>
    <row r="231" spans="1:6" x14ac:dyDescent="0.25">
      <c r="A231" s="1">
        <v>4</v>
      </c>
      <c r="B231" s="2" t="s">
        <v>445</v>
      </c>
      <c r="C231" s="2" t="s">
        <v>446</v>
      </c>
      <c r="D231" s="2">
        <v>1402</v>
      </c>
      <c r="E231" s="2">
        <v>1279</v>
      </c>
      <c r="F231" s="2">
        <v>2681</v>
      </c>
    </row>
    <row r="232" spans="1:6" x14ac:dyDescent="0.25">
      <c r="A232" s="1">
        <v>4</v>
      </c>
      <c r="B232" s="2" t="s">
        <v>447</v>
      </c>
      <c r="C232" s="2" t="s">
        <v>448</v>
      </c>
      <c r="D232" s="2">
        <v>1850</v>
      </c>
      <c r="E232" s="2">
        <v>1687</v>
      </c>
      <c r="F232" s="2">
        <v>3537</v>
      </c>
    </row>
    <row r="233" spans="1:6" x14ac:dyDescent="0.25">
      <c r="A233" s="1">
        <v>4</v>
      </c>
      <c r="B233" s="2" t="s">
        <v>449</v>
      </c>
      <c r="C233" s="2" t="s">
        <v>450</v>
      </c>
      <c r="D233" s="2">
        <v>955</v>
      </c>
      <c r="E233" s="2">
        <v>925</v>
      </c>
      <c r="F233" s="2">
        <v>1880</v>
      </c>
    </row>
    <row r="234" spans="1:6" x14ac:dyDescent="0.25">
      <c r="A234" s="1">
        <v>4</v>
      </c>
      <c r="B234" s="2" t="s">
        <v>451</v>
      </c>
      <c r="C234" s="2" t="s">
        <v>282</v>
      </c>
      <c r="D234" s="2">
        <v>645</v>
      </c>
      <c r="E234" s="2">
        <v>619</v>
      </c>
      <c r="F234" s="2">
        <v>1264</v>
      </c>
    </row>
    <row r="235" spans="1:6" x14ac:dyDescent="0.25">
      <c r="A235" s="1">
        <v>4</v>
      </c>
      <c r="B235" s="2" t="s">
        <v>452</v>
      </c>
      <c r="C235" s="2" t="s">
        <v>453</v>
      </c>
      <c r="D235" s="2">
        <v>993</v>
      </c>
      <c r="E235" s="2">
        <v>938</v>
      </c>
      <c r="F235" s="2">
        <v>1931</v>
      </c>
    </row>
    <row r="236" spans="1:6" x14ac:dyDescent="0.25">
      <c r="A236" s="1">
        <v>4</v>
      </c>
      <c r="B236" s="2" t="s">
        <v>454</v>
      </c>
      <c r="C236" s="2" t="s">
        <v>455</v>
      </c>
      <c r="D236" s="2">
        <v>1742</v>
      </c>
      <c r="E236" s="2">
        <v>1596</v>
      </c>
      <c r="F236" s="2">
        <v>3338</v>
      </c>
    </row>
    <row r="237" spans="1:6" x14ac:dyDescent="0.25">
      <c r="A237" s="1">
        <v>4</v>
      </c>
      <c r="B237" s="2" t="s">
        <v>456</v>
      </c>
      <c r="C237" s="2" t="s">
        <v>457</v>
      </c>
      <c r="D237" s="2">
        <v>1562</v>
      </c>
      <c r="E237" s="2">
        <v>1436</v>
      </c>
      <c r="F237" s="2">
        <v>2998</v>
      </c>
    </row>
    <row r="238" spans="1:6" x14ac:dyDescent="0.25">
      <c r="A238" s="1">
        <v>3</v>
      </c>
      <c r="B238" s="2" t="s">
        <v>458</v>
      </c>
      <c r="C238" s="2" t="s">
        <v>459</v>
      </c>
      <c r="D238" s="2">
        <v>22632</v>
      </c>
      <c r="E238" s="2">
        <v>21260</v>
      </c>
      <c r="F238" s="2">
        <v>43892</v>
      </c>
    </row>
    <row r="239" spans="1:6" x14ac:dyDescent="0.25">
      <c r="A239" s="1">
        <v>4</v>
      </c>
      <c r="B239" s="2" t="s">
        <v>460</v>
      </c>
      <c r="C239" s="2" t="s">
        <v>459</v>
      </c>
      <c r="D239" s="2">
        <v>7243</v>
      </c>
      <c r="E239" s="2">
        <v>6819</v>
      </c>
      <c r="F239" s="2">
        <v>14062</v>
      </c>
    </row>
    <row r="240" spans="1:6" x14ac:dyDescent="0.25">
      <c r="A240" s="1">
        <v>4</v>
      </c>
      <c r="B240" s="2" t="s">
        <v>461</v>
      </c>
      <c r="C240" s="2" t="s">
        <v>462</v>
      </c>
      <c r="D240" s="2">
        <v>2984</v>
      </c>
      <c r="E240" s="2">
        <v>2765</v>
      </c>
      <c r="F240" s="2">
        <v>5749</v>
      </c>
    </row>
    <row r="241" spans="1:6" x14ac:dyDescent="0.25">
      <c r="A241" s="1">
        <v>4</v>
      </c>
      <c r="B241" s="2" t="s">
        <v>463</v>
      </c>
      <c r="C241" s="2" t="s">
        <v>464</v>
      </c>
      <c r="D241" s="2">
        <v>1511</v>
      </c>
      <c r="E241" s="2">
        <v>1440</v>
      </c>
      <c r="F241" s="2">
        <v>2951</v>
      </c>
    </row>
    <row r="242" spans="1:6" x14ac:dyDescent="0.25">
      <c r="A242" s="1">
        <v>4</v>
      </c>
      <c r="B242" s="2" t="s">
        <v>465</v>
      </c>
      <c r="C242" s="2" t="s">
        <v>466</v>
      </c>
      <c r="D242" s="2">
        <v>2806</v>
      </c>
      <c r="E242" s="2">
        <v>2694</v>
      </c>
      <c r="F242" s="2">
        <v>5500</v>
      </c>
    </row>
    <row r="243" spans="1:6" x14ac:dyDescent="0.25">
      <c r="A243" s="1">
        <v>4</v>
      </c>
      <c r="B243" s="2" t="s">
        <v>467</v>
      </c>
      <c r="C243" s="2" t="s">
        <v>468</v>
      </c>
      <c r="D243" s="2">
        <v>1651</v>
      </c>
      <c r="E243" s="2">
        <v>1570</v>
      </c>
      <c r="F243" s="2">
        <v>3221</v>
      </c>
    </row>
    <row r="244" spans="1:6" x14ac:dyDescent="0.25">
      <c r="A244" s="1">
        <v>4</v>
      </c>
      <c r="B244" s="2" t="s">
        <v>469</v>
      </c>
      <c r="C244" s="2" t="s">
        <v>470</v>
      </c>
      <c r="D244" s="2">
        <v>1870</v>
      </c>
      <c r="E244" s="2">
        <v>1720</v>
      </c>
      <c r="F244" s="2">
        <v>3590</v>
      </c>
    </row>
    <row r="245" spans="1:6" x14ac:dyDescent="0.25">
      <c r="A245" s="1">
        <v>4</v>
      </c>
      <c r="B245" s="2" t="s">
        <v>471</v>
      </c>
      <c r="C245" s="2" t="s">
        <v>160</v>
      </c>
      <c r="D245" s="2">
        <v>2407</v>
      </c>
      <c r="E245" s="2">
        <v>2254</v>
      </c>
      <c r="F245" s="2">
        <v>4661</v>
      </c>
    </row>
    <row r="246" spans="1:6" x14ac:dyDescent="0.25">
      <c r="A246" s="1">
        <v>4</v>
      </c>
      <c r="B246" s="2" t="s">
        <v>472</v>
      </c>
      <c r="C246" s="2" t="s">
        <v>473</v>
      </c>
      <c r="D246" s="2">
        <v>2160</v>
      </c>
      <c r="E246" s="2">
        <v>1998</v>
      </c>
      <c r="F246" s="2">
        <v>4158</v>
      </c>
    </row>
    <row r="247" spans="1:6" x14ac:dyDescent="0.25">
      <c r="A247" s="1">
        <v>3</v>
      </c>
      <c r="B247" s="2" t="s">
        <v>474</v>
      </c>
      <c r="C247" s="2" t="s">
        <v>475</v>
      </c>
      <c r="D247" s="2">
        <v>27386</v>
      </c>
      <c r="E247" s="2">
        <v>25631</v>
      </c>
      <c r="F247" s="2">
        <v>53017</v>
      </c>
    </row>
    <row r="248" spans="1:6" x14ac:dyDescent="0.25">
      <c r="A248" s="1">
        <v>4</v>
      </c>
      <c r="B248" s="2" t="s">
        <v>476</v>
      </c>
      <c r="C248" s="2" t="s">
        <v>160</v>
      </c>
      <c r="D248" s="2">
        <v>981</v>
      </c>
      <c r="E248" s="2">
        <v>936</v>
      </c>
      <c r="F248" s="2">
        <v>1917</v>
      </c>
    </row>
    <row r="249" spans="1:6" x14ac:dyDescent="0.25">
      <c r="A249" s="1">
        <v>4</v>
      </c>
      <c r="B249" s="2" t="s">
        <v>477</v>
      </c>
      <c r="C249" s="2" t="s">
        <v>478</v>
      </c>
      <c r="D249" s="2">
        <v>1043</v>
      </c>
      <c r="E249" s="2">
        <v>979</v>
      </c>
      <c r="F249" s="2">
        <v>2022</v>
      </c>
    </row>
    <row r="250" spans="1:6" x14ac:dyDescent="0.25">
      <c r="A250" s="1">
        <v>4</v>
      </c>
      <c r="B250" s="2" t="s">
        <v>479</v>
      </c>
      <c r="C250" s="2" t="s">
        <v>480</v>
      </c>
      <c r="D250" s="2">
        <v>1394</v>
      </c>
      <c r="E250" s="2">
        <v>1250</v>
      </c>
      <c r="F250" s="2">
        <v>2644</v>
      </c>
    </row>
    <row r="251" spans="1:6" x14ac:dyDescent="0.25">
      <c r="A251" s="1">
        <v>4</v>
      </c>
      <c r="B251" s="2" t="s">
        <v>481</v>
      </c>
      <c r="C251" s="2" t="s">
        <v>482</v>
      </c>
      <c r="D251" s="2">
        <v>1987</v>
      </c>
      <c r="E251" s="2">
        <v>1763</v>
      </c>
      <c r="F251" s="2">
        <v>3750</v>
      </c>
    </row>
    <row r="252" spans="1:6" x14ac:dyDescent="0.25">
      <c r="A252" s="1">
        <v>4</v>
      </c>
      <c r="B252" s="2" t="s">
        <v>483</v>
      </c>
      <c r="C252" s="2" t="s">
        <v>484</v>
      </c>
      <c r="D252" s="2">
        <v>1014</v>
      </c>
      <c r="E252" s="2">
        <v>954</v>
      </c>
      <c r="F252" s="2">
        <v>1968</v>
      </c>
    </row>
    <row r="253" spans="1:6" x14ac:dyDescent="0.25">
      <c r="A253" s="1">
        <v>4</v>
      </c>
      <c r="B253" s="2" t="s">
        <v>485</v>
      </c>
      <c r="C253" s="2" t="s">
        <v>232</v>
      </c>
      <c r="D253" s="2">
        <v>1064</v>
      </c>
      <c r="E253" s="2">
        <v>967</v>
      </c>
      <c r="F253" s="2">
        <v>2031</v>
      </c>
    </row>
    <row r="254" spans="1:6" x14ac:dyDescent="0.25">
      <c r="A254" s="1">
        <v>4</v>
      </c>
      <c r="B254" s="2" t="s">
        <v>486</v>
      </c>
      <c r="C254" s="2" t="s">
        <v>487</v>
      </c>
      <c r="D254" s="2">
        <v>2260</v>
      </c>
      <c r="E254" s="2">
        <v>1991</v>
      </c>
      <c r="F254" s="2">
        <v>4251</v>
      </c>
    </row>
    <row r="255" spans="1:6" x14ac:dyDescent="0.25">
      <c r="A255" s="1">
        <v>4</v>
      </c>
      <c r="B255" s="2" t="s">
        <v>488</v>
      </c>
      <c r="C255" s="2" t="s">
        <v>9</v>
      </c>
      <c r="D255" s="2">
        <v>1305</v>
      </c>
      <c r="E255" s="2">
        <v>1241</v>
      </c>
      <c r="F255" s="2">
        <v>2546</v>
      </c>
    </row>
    <row r="256" spans="1:6" x14ac:dyDescent="0.25">
      <c r="A256" s="1">
        <v>4</v>
      </c>
      <c r="B256" s="2" t="s">
        <v>489</v>
      </c>
      <c r="C256" s="2" t="s">
        <v>475</v>
      </c>
      <c r="D256" s="2">
        <v>2739</v>
      </c>
      <c r="E256" s="2">
        <v>2649</v>
      </c>
      <c r="F256" s="2">
        <v>5388</v>
      </c>
    </row>
    <row r="257" spans="1:6" x14ac:dyDescent="0.25">
      <c r="A257" s="1">
        <v>4</v>
      </c>
      <c r="B257" s="2" t="s">
        <v>490</v>
      </c>
      <c r="C257" s="2" t="s">
        <v>491</v>
      </c>
      <c r="D257" s="2">
        <v>1607</v>
      </c>
      <c r="E257" s="2">
        <v>1600</v>
      </c>
      <c r="F257" s="2">
        <v>3207</v>
      </c>
    </row>
    <row r="258" spans="1:6" x14ac:dyDescent="0.25">
      <c r="A258" s="1">
        <v>4</v>
      </c>
      <c r="B258" s="2" t="s">
        <v>492</v>
      </c>
      <c r="C258" s="2" t="s">
        <v>493</v>
      </c>
      <c r="D258" s="2">
        <v>2050</v>
      </c>
      <c r="E258" s="2">
        <v>1888</v>
      </c>
      <c r="F258" s="2">
        <v>3938</v>
      </c>
    </row>
    <row r="259" spans="1:6" x14ac:dyDescent="0.25">
      <c r="A259" s="1">
        <v>4</v>
      </c>
      <c r="B259" s="2" t="s">
        <v>494</v>
      </c>
      <c r="C259" s="2" t="s">
        <v>495</v>
      </c>
      <c r="D259" s="2">
        <v>1562</v>
      </c>
      <c r="E259" s="2">
        <v>1456</v>
      </c>
      <c r="F259" s="2">
        <v>3018</v>
      </c>
    </row>
    <row r="260" spans="1:6" x14ac:dyDescent="0.25">
      <c r="A260" s="1">
        <v>4</v>
      </c>
      <c r="B260" s="2" t="s">
        <v>496</v>
      </c>
      <c r="C260" s="2" t="s">
        <v>497</v>
      </c>
      <c r="D260" s="2">
        <v>2773</v>
      </c>
      <c r="E260" s="2">
        <v>2662</v>
      </c>
      <c r="F260" s="2">
        <v>5435</v>
      </c>
    </row>
    <row r="261" spans="1:6" x14ac:dyDescent="0.25">
      <c r="A261" s="1">
        <v>4</v>
      </c>
      <c r="B261" s="2" t="s">
        <v>498</v>
      </c>
      <c r="C261" s="2" t="s">
        <v>499</v>
      </c>
      <c r="D261" s="2">
        <v>2787</v>
      </c>
      <c r="E261" s="2">
        <v>2625</v>
      </c>
      <c r="F261" s="2">
        <v>5412</v>
      </c>
    </row>
    <row r="262" spans="1:6" x14ac:dyDescent="0.25">
      <c r="A262" s="1">
        <v>4</v>
      </c>
      <c r="B262" s="2" t="s">
        <v>500</v>
      </c>
      <c r="C262" s="2" t="s">
        <v>501</v>
      </c>
      <c r="D262" s="2">
        <v>521</v>
      </c>
      <c r="E262" s="2">
        <v>505</v>
      </c>
      <c r="F262" s="2">
        <v>1026</v>
      </c>
    </row>
    <row r="263" spans="1:6" x14ac:dyDescent="0.25">
      <c r="A263" s="1">
        <v>4</v>
      </c>
      <c r="B263" s="2" t="s">
        <v>502</v>
      </c>
      <c r="C263" s="2" t="s">
        <v>503</v>
      </c>
      <c r="D263" s="2">
        <v>956</v>
      </c>
      <c r="E263" s="2">
        <v>916</v>
      </c>
      <c r="F263" s="2">
        <v>1872</v>
      </c>
    </row>
    <row r="264" spans="1:6" x14ac:dyDescent="0.25">
      <c r="A264" s="1">
        <v>4</v>
      </c>
      <c r="B264" s="2" t="s">
        <v>504</v>
      </c>
      <c r="C264" s="2" t="s">
        <v>505</v>
      </c>
      <c r="D264" s="2">
        <v>1343</v>
      </c>
      <c r="E264" s="2">
        <v>1249</v>
      </c>
      <c r="F264" s="2">
        <v>2592</v>
      </c>
    </row>
    <row r="265" spans="1:6" x14ac:dyDescent="0.25">
      <c r="A265" s="1">
        <v>3</v>
      </c>
      <c r="B265" s="2" t="s">
        <v>506</v>
      </c>
      <c r="C265" s="2" t="s">
        <v>507</v>
      </c>
      <c r="D265" s="2">
        <v>25368</v>
      </c>
      <c r="E265" s="2">
        <v>24181</v>
      </c>
      <c r="F265" s="2">
        <v>49549</v>
      </c>
    </row>
    <row r="266" spans="1:6" x14ac:dyDescent="0.25">
      <c r="A266" s="1">
        <v>4</v>
      </c>
      <c r="B266" s="2" t="s">
        <v>508</v>
      </c>
      <c r="C266" s="2" t="s">
        <v>507</v>
      </c>
      <c r="D266" s="2">
        <v>2637</v>
      </c>
      <c r="E266" s="2">
        <v>2543</v>
      </c>
      <c r="F266" s="2">
        <v>5180</v>
      </c>
    </row>
    <row r="267" spans="1:6" x14ac:dyDescent="0.25">
      <c r="A267" s="1">
        <v>4</v>
      </c>
      <c r="B267" s="2" t="s">
        <v>509</v>
      </c>
      <c r="C267" s="2" t="s">
        <v>510</v>
      </c>
      <c r="D267" s="2">
        <v>1330</v>
      </c>
      <c r="E267" s="2">
        <v>1222</v>
      </c>
      <c r="F267" s="2">
        <v>2552</v>
      </c>
    </row>
    <row r="268" spans="1:6" x14ac:dyDescent="0.25">
      <c r="A268" s="1">
        <v>4</v>
      </c>
      <c r="B268" s="2" t="s">
        <v>511</v>
      </c>
      <c r="C268" s="2" t="s">
        <v>512</v>
      </c>
      <c r="D268" s="2">
        <v>1300</v>
      </c>
      <c r="E268" s="2">
        <v>1170</v>
      </c>
      <c r="F268" s="2">
        <v>2470</v>
      </c>
    </row>
    <row r="269" spans="1:6" x14ac:dyDescent="0.25">
      <c r="A269" s="1">
        <v>4</v>
      </c>
      <c r="B269" s="2" t="s">
        <v>513</v>
      </c>
      <c r="C269" s="2" t="s">
        <v>514</v>
      </c>
      <c r="D269" s="2">
        <v>2353</v>
      </c>
      <c r="E269" s="2">
        <v>2239</v>
      </c>
      <c r="F269" s="2">
        <v>4592</v>
      </c>
    </row>
    <row r="270" spans="1:6" x14ac:dyDescent="0.25">
      <c r="A270" s="1">
        <v>4</v>
      </c>
      <c r="B270" s="2" t="s">
        <v>515</v>
      </c>
      <c r="C270" s="2" t="s">
        <v>286</v>
      </c>
      <c r="D270" s="2">
        <v>1179</v>
      </c>
      <c r="E270" s="2">
        <v>1154</v>
      </c>
      <c r="F270" s="2">
        <v>2333</v>
      </c>
    </row>
    <row r="271" spans="1:6" x14ac:dyDescent="0.25">
      <c r="A271" s="1">
        <v>4</v>
      </c>
      <c r="B271" s="2" t="s">
        <v>516</v>
      </c>
      <c r="C271" s="2" t="s">
        <v>517</v>
      </c>
      <c r="D271" s="2">
        <v>2200</v>
      </c>
      <c r="E271" s="2">
        <v>2113</v>
      </c>
      <c r="F271" s="2">
        <v>4313</v>
      </c>
    </row>
    <row r="272" spans="1:6" x14ac:dyDescent="0.25">
      <c r="A272" s="1">
        <v>4</v>
      </c>
      <c r="B272" s="2" t="s">
        <v>518</v>
      </c>
      <c r="C272" s="2" t="s">
        <v>519</v>
      </c>
      <c r="D272" s="2">
        <v>1104</v>
      </c>
      <c r="E272" s="2">
        <v>1005</v>
      </c>
      <c r="F272" s="2">
        <v>2109</v>
      </c>
    </row>
    <row r="273" spans="1:6" x14ac:dyDescent="0.25">
      <c r="A273" s="1">
        <v>4</v>
      </c>
      <c r="B273" s="2" t="s">
        <v>520</v>
      </c>
      <c r="C273" s="2" t="s">
        <v>521</v>
      </c>
      <c r="D273" s="2">
        <v>1198</v>
      </c>
      <c r="E273" s="2">
        <v>1134</v>
      </c>
      <c r="F273" s="2">
        <v>2332</v>
      </c>
    </row>
    <row r="274" spans="1:6" x14ac:dyDescent="0.25">
      <c r="A274" s="1">
        <v>4</v>
      </c>
      <c r="B274" s="2" t="s">
        <v>522</v>
      </c>
      <c r="C274" s="2" t="s">
        <v>523</v>
      </c>
      <c r="D274" s="2">
        <v>1802</v>
      </c>
      <c r="E274" s="2">
        <v>1742</v>
      </c>
      <c r="F274" s="2">
        <v>3544</v>
      </c>
    </row>
    <row r="275" spans="1:6" x14ac:dyDescent="0.25">
      <c r="A275" s="1">
        <v>4</v>
      </c>
      <c r="B275" s="2" t="s">
        <v>524</v>
      </c>
      <c r="C275" s="2" t="s">
        <v>525</v>
      </c>
      <c r="D275" s="2">
        <v>1617</v>
      </c>
      <c r="E275" s="2">
        <v>1609</v>
      </c>
      <c r="F275" s="2">
        <v>3226</v>
      </c>
    </row>
    <row r="276" spans="1:6" x14ac:dyDescent="0.25">
      <c r="A276" s="1">
        <v>4</v>
      </c>
      <c r="B276" s="2" t="s">
        <v>526</v>
      </c>
      <c r="C276" s="2" t="s">
        <v>527</v>
      </c>
      <c r="D276" s="2">
        <v>1448</v>
      </c>
      <c r="E276" s="2">
        <v>1461</v>
      </c>
      <c r="F276" s="2">
        <v>2909</v>
      </c>
    </row>
    <row r="277" spans="1:6" x14ac:dyDescent="0.25">
      <c r="A277" s="1">
        <v>4</v>
      </c>
      <c r="B277" s="2" t="s">
        <v>528</v>
      </c>
      <c r="C277" s="2" t="s">
        <v>529</v>
      </c>
      <c r="D277" s="2">
        <v>960</v>
      </c>
      <c r="E277" s="2">
        <v>913</v>
      </c>
      <c r="F277" s="2">
        <v>1873</v>
      </c>
    </row>
    <row r="278" spans="1:6" x14ac:dyDescent="0.25">
      <c r="A278" s="1">
        <v>4</v>
      </c>
      <c r="B278" s="2" t="s">
        <v>530</v>
      </c>
      <c r="C278" s="2" t="s">
        <v>531</v>
      </c>
      <c r="D278" s="2">
        <v>1115</v>
      </c>
      <c r="E278" s="2">
        <v>1064</v>
      </c>
      <c r="F278" s="2">
        <v>2179</v>
      </c>
    </row>
    <row r="279" spans="1:6" x14ac:dyDescent="0.25">
      <c r="A279" s="1">
        <v>4</v>
      </c>
      <c r="B279" s="2" t="s">
        <v>532</v>
      </c>
      <c r="C279" s="2" t="s">
        <v>98</v>
      </c>
      <c r="D279" s="2">
        <v>1538</v>
      </c>
      <c r="E279" s="2">
        <v>1493</v>
      </c>
      <c r="F279" s="2">
        <v>3031</v>
      </c>
    </row>
    <row r="280" spans="1:6" x14ac:dyDescent="0.25">
      <c r="A280" s="1">
        <v>4</v>
      </c>
      <c r="B280" s="2" t="s">
        <v>533</v>
      </c>
      <c r="C280" s="2" t="s">
        <v>534</v>
      </c>
      <c r="D280" s="2">
        <v>2041</v>
      </c>
      <c r="E280" s="2">
        <v>1861</v>
      </c>
      <c r="F280" s="2">
        <v>3902</v>
      </c>
    </row>
    <row r="281" spans="1:6" x14ac:dyDescent="0.25">
      <c r="A281" s="1">
        <v>4</v>
      </c>
      <c r="B281" s="2" t="s">
        <v>535</v>
      </c>
      <c r="C281" s="2" t="s">
        <v>536</v>
      </c>
      <c r="D281" s="2">
        <v>1546</v>
      </c>
      <c r="E281" s="2">
        <v>1458</v>
      </c>
      <c r="F281" s="2">
        <v>3004</v>
      </c>
    </row>
    <row r="282" spans="1:6" x14ac:dyDescent="0.25">
      <c r="A282" s="1">
        <v>3</v>
      </c>
      <c r="B282" s="2" t="s">
        <v>537</v>
      </c>
      <c r="C282" s="2" t="s">
        <v>538</v>
      </c>
      <c r="D282" s="2">
        <v>12261</v>
      </c>
      <c r="E282" s="2">
        <v>11606</v>
      </c>
      <c r="F282" s="2">
        <v>23867</v>
      </c>
    </row>
    <row r="283" spans="1:6" x14ac:dyDescent="0.25">
      <c r="A283" s="1">
        <v>4</v>
      </c>
      <c r="B283" s="2" t="s">
        <v>539</v>
      </c>
      <c r="C283" s="2" t="s">
        <v>538</v>
      </c>
      <c r="D283" s="2">
        <v>1587</v>
      </c>
      <c r="E283" s="2">
        <v>1506</v>
      </c>
      <c r="F283" s="2">
        <v>3093</v>
      </c>
    </row>
    <row r="284" spans="1:6" x14ac:dyDescent="0.25">
      <c r="A284" s="1">
        <v>4</v>
      </c>
      <c r="B284" s="2" t="s">
        <v>540</v>
      </c>
      <c r="C284" s="2" t="s">
        <v>541</v>
      </c>
      <c r="D284" s="2">
        <v>1032</v>
      </c>
      <c r="E284" s="2">
        <v>932</v>
      </c>
      <c r="F284" s="2">
        <v>1964</v>
      </c>
    </row>
    <row r="285" spans="1:6" x14ac:dyDescent="0.25">
      <c r="A285" s="1">
        <v>4</v>
      </c>
      <c r="B285" s="2" t="s">
        <v>542</v>
      </c>
      <c r="C285" s="2" t="s">
        <v>543</v>
      </c>
      <c r="D285" s="2">
        <v>1564</v>
      </c>
      <c r="E285" s="2">
        <v>1471</v>
      </c>
      <c r="F285" s="2">
        <v>3035</v>
      </c>
    </row>
    <row r="286" spans="1:6" x14ac:dyDescent="0.25">
      <c r="A286" s="1">
        <v>4</v>
      </c>
      <c r="B286" s="2" t="s">
        <v>544</v>
      </c>
      <c r="C286" s="2" t="s">
        <v>545</v>
      </c>
      <c r="D286" s="2">
        <v>1176</v>
      </c>
      <c r="E286" s="2">
        <v>1166</v>
      </c>
      <c r="F286" s="2">
        <v>2342</v>
      </c>
    </row>
    <row r="287" spans="1:6" x14ac:dyDescent="0.25">
      <c r="A287" s="1">
        <v>4</v>
      </c>
      <c r="B287" s="2" t="s">
        <v>546</v>
      </c>
      <c r="C287" s="2" t="s">
        <v>547</v>
      </c>
      <c r="D287" s="2">
        <v>2474</v>
      </c>
      <c r="E287" s="2">
        <v>2356</v>
      </c>
      <c r="F287" s="2">
        <v>4830</v>
      </c>
    </row>
    <row r="288" spans="1:6" x14ac:dyDescent="0.25">
      <c r="A288" s="1">
        <v>4</v>
      </c>
      <c r="B288" s="2" t="s">
        <v>548</v>
      </c>
      <c r="C288" s="2" t="s">
        <v>549</v>
      </c>
      <c r="D288" s="2">
        <v>1659</v>
      </c>
      <c r="E288" s="2">
        <v>1612</v>
      </c>
      <c r="F288" s="2">
        <v>3271</v>
      </c>
    </row>
    <row r="289" spans="1:6" x14ac:dyDescent="0.25">
      <c r="A289" s="1">
        <v>4</v>
      </c>
      <c r="B289" s="2" t="s">
        <v>550</v>
      </c>
      <c r="C289" s="2" t="s">
        <v>188</v>
      </c>
      <c r="D289" s="2">
        <v>1323</v>
      </c>
      <c r="E289" s="2">
        <v>1228</v>
      </c>
      <c r="F289" s="2">
        <v>2551</v>
      </c>
    </row>
    <row r="290" spans="1:6" x14ac:dyDescent="0.25">
      <c r="A290" s="1">
        <v>4</v>
      </c>
      <c r="B290" s="2" t="s">
        <v>551</v>
      </c>
      <c r="C290" s="2" t="s">
        <v>282</v>
      </c>
      <c r="D290" s="2">
        <v>1446</v>
      </c>
      <c r="E290" s="2">
        <v>1335</v>
      </c>
      <c r="F290" s="2">
        <v>2781</v>
      </c>
    </row>
    <row r="291" spans="1:6" x14ac:dyDescent="0.25">
      <c r="A291" s="1">
        <v>3</v>
      </c>
      <c r="B291" s="2" t="s">
        <v>552</v>
      </c>
      <c r="C291" s="2" t="s">
        <v>553</v>
      </c>
      <c r="D291" s="2">
        <v>23196</v>
      </c>
      <c r="E291" s="2">
        <v>22114</v>
      </c>
      <c r="F291" s="2">
        <v>45310</v>
      </c>
    </row>
    <row r="292" spans="1:6" x14ac:dyDescent="0.25">
      <c r="A292" s="1">
        <v>4</v>
      </c>
      <c r="B292" s="2" t="s">
        <v>554</v>
      </c>
      <c r="C292" s="2" t="s">
        <v>553</v>
      </c>
      <c r="D292" s="2">
        <v>3524</v>
      </c>
      <c r="E292" s="2">
        <v>3375</v>
      </c>
      <c r="F292" s="2">
        <v>6899</v>
      </c>
    </row>
    <row r="293" spans="1:6" x14ac:dyDescent="0.25">
      <c r="A293" s="1">
        <v>4</v>
      </c>
      <c r="B293" s="2" t="s">
        <v>555</v>
      </c>
      <c r="C293" s="2" t="s">
        <v>556</v>
      </c>
      <c r="D293" s="2">
        <v>1760</v>
      </c>
      <c r="E293" s="2">
        <v>1664</v>
      </c>
      <c r="F293" s="2">
        <v>3424</v>
      </c>
    </row>
    <row r="294" spans="1:6" x14ac:dyDescent="0.25">
      <c r="A294" s="1">
        <v>4</v>
      </c>
      <c r="B294" s="2" t="s">
        <v>557</v>
      </c>
      <c r="C294" s="2" t="s">
        <v>558</v>
      </c>
      <c r="D294" s="2">
        <v>3017</v>
      </c>
      <c r="E294" s="2">
        <v>2777</v>
      </c>
      <c r="F294" s="2">
        <v>5794</v>
      </c>
    </row>
    <row r="295" spans="1:6" x14ac:dyDescent="0.25">
      <c r="A295" s="1">
        <v>4</v>
      </c>
      <c r="B295" s="2" t="s">
        <v>559</v>
      </c>
      <c r="C295" s="2" t="s">
        <v>560</v>
      </c>
      <c r="D295" s="2">
        <v>3292</v>
      </c>
      <c r="E295" s="2">
        <v>3128</v>
      </c>
      <c r="F295" s="2">
        <v>6420</v>
      </c>
    </row>
    <row r="296" spans="1:6" x14ac:dyDescent="0.25">
      <c r="A296" s="1">
        <v>4</v>
      </c>
      <c r="B296" s="2" t="s">
        <v>561</v>
      </c>
      <c r="C296" s="2" t="s">
        <v>562</v>
      </c>
      <c r="D296" s="2">
        <v>2450</v>
      </c>
      <c r="E296" s="2">
        <v>2403</v>
      </c>
      <c r="F296" s="2">
        <v>4853</v>
      </c>
    </row>
    <row r="297" spans="1:6" x14ac:dyDescent="0.25">
      <c r="A297" s="1">
        <v>4</v>
      </c>
      <c r="B297" s="2" t="s">
        <v>563</v>
      </c>
      <c r="C297" s="2" t="s">
        <v>564</v>
      </c>
      <c r="D297" s="2">
        <v>1846</v>
      </c>
      <c r="E297" s="2">
        <v>1756</v>
      </c>
      <c r="F297" s="2">
        <v>3602</v>
      </c>
    </row>
    <row r="298" spans="1:6" x14ac:dyDescent="0.25">
      <c r="A298" s="1">
        <v>4</v>
      </c>
      <c r="B298" s="2" t="s">
        <v>565</v>
      </c>
      <c r="C298" s="2" t="s">
        <v>566</v>
      </c>
      <c r="D298" s="2">
        <v>1625</v>
      </c>
      <c r="E298" s="2">
        <v>1510</v>
      </c>
      <c r="F298" s="2">
        <v>3135</v>
      </c>
    </row>
    <row r="299" spans="1:6" x14ac:dyDescent="0.25">
      <c r="A299" s="1">
        <v>4</v>
      </c>
      <c r="B299" s="2" t="s">
        <v>567</v>
      </c>
      <c r="C299" s="2" t="s">
        <v>568</v>
      </c>
      <c r="D299" s="2">
        <v>2675</v>
      </c>
      <c r="E299" s="2">
        <v>2604</v>
      </c>
      <c r="F299" s="2">
        <v>5279</v>
      </c>
    </row>
    <row r="300" spans="1:6" x14ac:dyDescent="0.25">
      <c r="A300" s="1">
        <v>4</v>
      </c>
      <c r="B300" s="2" t="s">
        <v>569</v>
      </c>
      <c r="C300" s="2" t="s">
        <v>570</v>
      </c>
      <c r="D300" s="2">
        <v>3007</v>
      </c>
      <c r="E300" s="2">
        <v>2897</v>
      </c>
      <c r="F300" s="2">
        <v>5904</v>
      </c>
    </row>
  </sheetData>
  <sheetProtection algorithmName="SHA-512" hashValue="5j6l800ILXjwdMXEGak4bxzLd7i22Bx285lqODHrxLQ81sWFgMCYo4vH6P/dFtVJ4pSTK66aUmyCQWb3s8Umpw==" saltValue="BJpudvPM1B8STsH0aCVR/A==" spinCount="100000" sheet="1" objects="1" scenarios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6"/>
  <sheetViews>
    <sheetView workbookViewId="0">
      <selection sqref="A1:I1"/>
    </sheetView>
  </sheetViews>
  <sheetFormatPr defaultRowHeight="15" x14ac:dyDescent="0.25"/>
  <cols>
    <col min="1" max="1" width="4.5703125" customWidth="1"/>
    <col min="2" max="2" width="6.5703125" customWidth="1"/>
    <col min="3" max="3" width="20.5703125" customWidth="1"/>
    <col min="4" max="4" width="9.7109375" customWidth="1"/>
    <col min="5" max="5" width="8.28515625" style="3" customWidth="1"/>
    <col min="6" max="6" width="9.7109375" customWidth="1"/>
    <col min="7" max="7" width="8.28515625" style="3" customWidth="1"/>
    <col min="8" max="8" width="10.28515625" customWidth="1"/>
    <col min="9" max="9" width="8.28515625" style="3" customWidth="1"/>
  </cols>
  <sheetData>
    <row r="1" spans="1:9" ht="18.75" x14ac:dyDescent="0.25">
      <c r="A1" s="60" t="s">
        <v>571</v>
      </c>
      <c r="B1" s="60"/>
      <c r="C1" s="60"/>
      <c r="D1" s="60"/>
      <c r="E1" s="60"/>
      <c r="F1" s="60"/>
      <c r="G1" s="60"/>
      <c r="H1" s="60"/>
      <c r="I1" s="60"/>
    </row>
    <row r="2" spans="1:9" x14ac:dyDescent="0.25">
      <c r="A2" s="61" t="s">
        <v>572</v>
      </c>
      <c r="B2" s="62"/>
      <c r="C2" s="62"/>
      <c r="D2" s="62"/>
      <c r="E2" s="62"/>
      <c r="F2" s="62"/>
      <c r="G2" s="62"/>
      <c r="H2" s="62"/>
      <c r="I2" s="63"/>
    </row>
    <row r="3" spans="1:9" x14ac:dyDescent="0.25">
      <c r="A3" s="64" t="s">
        <v>573</v>
      </c>
      <c r="B3" s="66" t="s">
        <v>574</v>
      </c>
      <c r="C3" s="67"/>
      <c r="D3" s="68" t="s">
        <v>575</v>
      </c>
      <c r="E3" s="69"/>
      <c r="F3" s="68" t="s">
        <v>576</v>
      </c>
      <c r="G3" s="69"/>
      <c r="H3" s="70" t="s">
        <v>577</v>
      </c>
      <c r="I3" s="71"/>
    </row>
    <row r="4" spans="1:9" x14ac:dyDescent="0.25">
      <c r="A4" s="65"/>
      <c r="B4" s="4" t="s">
        <v>578</v>
      </c>
      <c r="C4" s="4" t="s">
        <v>579</v>
      </c>
      <c r="D4" s="5" t="s">
        <v>577</v>
      </c>
      <c r="E4" s="6" t="s">
        <v>580</v>
      </c>
      <c r="F4" s="5" t="s">
        <v>577</v>
      </c>
      <c r="G4" s="6" t="s">
        <v>580</v>
      </c>
      <c r="H4" s="7" t="s">
        <v>581</v>
      </c>
      <c r="I4" s="8" t="s">
        <v>580</v>
      </c>
    </row>
    <row r="5" spans="1:9" x14ac:dyDescent="0.25">
      <c r="A5" s="9">
        <v>1</v>
      </c>
      <c r="B5" s="10" t="s">
        <v>6</v>
      </c>
      <c r="C5" s="11" t="s">
        <v>7</v>
      </c>
      <c r="D5" s="12">
        <f>'AGR_JK_3304_KAB. BANJARNEGARA'!D2</f>
        <v>548744</v>
      </c>
      <c r="E5" s="13">
        <f>D5/H5*100</f>
        <v>50.896058677420733</v>
      </c>
      <c r="F5" s="14">
        <f>'AGR_JK_3304_KAB. BANJARNEGARA'!E2</f>
        <v>529422</v>
      </c>
      <c r="G5" s="13">
        <f>F5/H5*100</f>
        <v>49.103941322579267</v>
      </c>
      <c r="H5" s="15">
        <f>D5+F5</f>
        <v>1078166</v>
      </c>
      <c r="I5" s="16">
        <f>H5/H5*100</f>
        <v>100</v>
      </c>
    </row>
    <row r="6" spans="1:9" x14ac:dyDescent="0.25">
      <c r="A6" s="57" t="s">
        <v>582</v>
      </c>
      <c r="B6" s="58"/>
      <c r="C6" s="59"/>
      <c r="D6" s="17">
        <f t="shared" ref="D6:I6" si="0">D5</f>
        <v>548744</v>
      </c>
      <c r="E6" s="18">
        <f t="shared" si="0"/>
        <v>50.896058677420733</v>
      </c>
      <c r="F6" s="17">
        <f t="shared" si="0"/>
        <v>529422</v>
      </c>
      <c r="G6" s="18">
        <f t="shared" si="0"/>
        <v>49.103941322579267</v>
      </c>
      <c r="H6" s="19">
        <f t="shared" si="0"/>
        <v>1078166</v>
      </c>
      <c r="I6" s="20">
        <f t="shared" si="0"/>
        <v>100</v>
      </c>
    </row>
  </sheetData>
  <sheetProtection algorithmName="SHA-512" hashValue="aZtBit51HJTLJp6I4RapRm2EVd1vGfuYbsI1p+U6l4qAvlFdMKtIDUxcPbkOGswzWp9Bc6XQvLCz4EVGKWK7qQ==" saltValue="tBBpe98I30pTAYXzf8fmdg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workbookViewId="0">
      <selection sqref="A1:I1"/>
    </sheetView>
  </sheetViews>
  <sheetFormatPr defaultColWidth="8.85546875" defaultRowHeight="15" x14ac:dyDescent="0.25"/>
  <cols>
    <col min="1" max="1" width="3.42578125" style="21" bestFit="1" customWidth="1"/>
    <col min="2" max="2" width="8.85546875" style="21"/>
    <col min="3" max="3" width="22" style="21" customWidth="1"/>
    <col min="4" max="7" width="9" style="21" bestFit="1" customWidth="1"/>
    <col min="8" max="8" width="11.5703125" style="21" customWidth="1"/>
    <col min="9" max="9" width="9" style="21" bestFit="1" customWidth="1"/>
    <col min="10" max="16384" width="8.85546875" style="21"/>
  </cols>
  <sheetData>
    <row r="1" spans="1:14" x14ac:dyDescent="0.25">
      <c r="A1" s="72" t="s">
        <v>583</v>
      </c>
      <c r="B1" s="72"/>
      <c r="C1" s="72"/>
      <c r="D1" s="72"/>
      <c r="E1" s="72"/>
      <c r="F1" s="72"/>
      <c r="G1" s="72"/>
      <c r="H1" s="72"/>
      <c r="I1" s="72"/>
    </row>
    <row r="2" spans="1:14" x14ac:dyDescent="0.25">
      <c r="A2" s="22"/>
      <c r="B2" s="22"/>
      <c r="C2" s="22"/>
      <c r="D2" s="22"/>
      <c r="E2" s="22"/>
      <c r="F2" s="22"/>
      <c r="G2" s="22"/>
      <c r="H2" s="22"/>
      <c r="I2" s="22"/>
    </row>
    <row r="3" spans="1:14" ht="15" customHeight="1" x14ac:dyDescent="0.25">
      <c r="A3" s="73" t="s">
        <v>584</v>
      </c>
      <c r="B3" s="73"/>
      <c r="C3" s="73"/>
      <c r="D3" s="73"/>
      <c r="E3" s="73"/>
      <c r="F3" s="73"/>
      <c r="G3" s="73"/>
      <c r="H3" s="73"/>
      <c r="I3" s="73"/>
    </row>
    <row r="4" spans="1:14" ht="15" customHeight="1" x14ac:dyDescent="0.25">
      <c r="A4" s="74" t="s">
        <v>573</v>
      </c>
      <c r="B4" s="74" t="s">
        <v>585</v>
      </c>
      <c r="C4" s="74"/>
      <c r="D4" s="75" t="s">
        <v>575</v>
      </c>
      <c r="E4" s="75"/>
      <c r="F4" s="75" t="s">
        <v>576</v>
      </c>
      <c r="G4" s="75"/>
      <c r="H4" s="76" t="s">
        <v>577</v>
      </c>
      <c r="I4" s="76"/>
    </row>
    <row r="5" spans="1:14" ht="15" customHeight="1" x14ac:dyDescent="0.25">
      <c r="A5" s="74"/>
      <c r="B5" s="23" t="s">
        <v>578</v>
      </c>
      <c r="C5" s="23" t="s">
        <v>579</v>
      </c>
      <c r="D5" s="24" t="s">
        <v>577</v>
      </c>
      <c r="E5" s="24" t="s">
        <v>580</v>
      </c>
      <c r="F5" s="24" t="s">
        <v>577</v>
      </c>
      <c r="G5" s="24" t="s">
        <v>580</v>
      </c>
      <c r="H5" s="25" t="s">
        <v>585</v>
      </c>
      <c r="I5" s="25" t="s">
        <v>580</v>
      </c>
    </row>
    <row r="6" spans="1:14" ht="15" customHeight="1" x14ac:dyDescent="0.25">
      <c r="A6" s="26">
        <v>1</v>
      </c>
      <c r="B6" s="26" t="str">
        <f t="array" ref="B6:D25">_xlfn._xlws.FILTER('AGR_JK_3304_KAB. BANJARNEGARA'!B3:D300,LEN('AGR_JK_3304_KAB. BANJARNEGARA'!B3:B300)=8)</f>
        <v>33.04.01</v>
      </c>
      <c r="C6" s="21" t="str">
        <v>SUSUKAN</v>
      </c>
      <c r="D6" s="27">
        <v>33273</v>
      </c>
      <c r="E6" s="28">
        <f t="array" ref="E6:E25">D6:D25/$H$6:$H$25*100</f>
        <v>50.450327510917027</v>
      </c>
      <c r="F6" s="27">
        <f t="array" ref="F6:F25">_xlfn._xlws.FILTER('AGR_JK_3304_KAB. BANJARNEGARA'!E3:E300,LEN('AGR_JK_3304_KAB. BANJARNEGARA'!B3:B300)=8)</f>
        <v>32679</v>
      </c>
      <c r="G6" s="28">
        <f t="array" ref="G6:G25">F6:F25/$H$6:$H$25*100</f>
        <v>49.549672489082965</v>
      </c>
      <c r="H6" s="29">
        <f t="array" ref="H6:H25">_xlfn._xlws.FILTER('AGR_JK_3304_KAB. BANJARNEGARA'!F3:F300,LEN('AGR_JK_3304_KAB. BANJARNEGARA'!B3:B300)=8)</f>
        <v>65952</v>
      </c>
      <c r="I6" s="30">
        <f t="array" ref="I6:I25">H6:H25/$H$6:$H$25*100</f>
        <v>100</v>
      </c>
      <c r="K6" s="31"/>
    </row>
    <row r="7" spans="1:14" ht="15" customHeight="1" x14ac:dyDescent="0.25">
      <c r="A7" s="26">
        <v>2</v>
      </c>
      <c r="B7" s="26" t="str">
        <v>33.04.02</v>
      </c>
      <c r="C7" s="32" t="str">
        <v>PURWOREJA KLAMPOK</v>
      </c>
      <c r="D7" s="27">
        <v>24997</v>
      </c>
      <c r="E7" s="28">
        <v>50.296786655667113</v>
      </c>
      <c r="F7" s="27">
        <v>24702</v>
      </c>
      <c r="G7" s="33">
        <v>49.703213344332887</v>
      </c>
      <c r="H7" s="29">
        <v>49699</v>
      </c>
      <c r="I7" s="34">
        <v>100</v>
      </c>
    </row>
    <row r="8" spans="1:14" ht="15" customHeight="1" x14ac:dyDescent="0.25">
      <c r="A8" s="26">
        <v>3</v>
      </c>
      <c r="B8" s="26" t="str">
        <v>33.04.03</v>
      </c>
      <c r="C8" s="32" t="str">
        <v>MANDIRAJA</v>
      </c>
      <c r="D8" s="27">
        <v>42481</v>
      </c>
      <c r="E8" s="28">
        <v>50.564793543856311</v>
      </c>
      <c r="F8" s="27">
        <v>41532</v>
      </c>
      <c r="G8" s="33">
        <v>49.435206456143696</v>
      </c>
      <c r="H8" s="29">
        <v>84013</v>
      </c>
      <c r="I8" s="34">
        <v>100</v>
      </c>
    </row>
    <row r="9" spans="1:14" ht="15" customHeight="1" x14ac:dyDescent="0.25">
      <c r="A9" s="26">
        <v>4</v>
      </c>
      <c r="B9" s="26" t="str">
        <v>33.04.04</v>
      </c>
      <c r="C9" s="32" t="str">
        <v>PURWANEGARA</v>
      </c>
      <c r="D9" s="27">
        <v>44019</v>
      </c>
      <c r="E9" s="28">
        <v>50.419215174214827</v>
      </c>
      <c r="F9" s="27">
        <v>43287</v>
      </c>
      <c r="G9" s="33">
        <v>49.580784825785166</v>
      </c>
      <c r="H9" s="29">
        <v>87306</v>
      </c>
      <c r="I9" s="34">
        <v>100</v>
      </c>
    </row>
    <row r="10" spans="1:14" ht="15" customHeight="1" x14ac:dyDescent="0.25">
      <c r="A10" s="26">
        <v>5</v>
      </c>
      <c r="B10" s="26" t="str">
        <v>33.04.05</v>
      </c>
      <c r="C10" s="32" t="str">
        <v>BAWANG</v>
      </c>
      <c r="D10" s="27">
        <v>33910</v>
      </c>
      <c r="E10" s="28">
        <v>50.508661393866269</v>
      </c>
      <c r="F10" s="27">
        <v>33227</v>
      </c>
      <c r="G10" s="33">
        <v>49.491338606133731</v>
      </c>
      <c r="H10" s="29">
        <v>67137</v>
      </c>
      <c r="I10" s="34">
        <v>100</v>
      </c>
    </row>
    <row r="11" spans="1:14" ht="15" customHeight="1" x14ac:dyDescent="0.25">
      <c r="A11" s="26">
        <v>6</v>
      </c>
      <c r="B11" s="26" t="str">
        <v>33.04.06</v>
      </c>
      <c r="C11" s="32" t="str">
        <v>BANJARNEGARA</v>
      </c>
      <c r="D11" s="27">
        <v>36076</v>
      </c>
      <c r="E11" s="28">
        <v>50.33837051920689</v>
      </c>
      <c r="F11" s="27">
        <v>35591</v>
      </c>
      <c r="G11" s="33">
        <v>49.66162948079311</v>
      </c>
      <c r="H11" s="29">
        <v>71667</v>
      </c>
      <c r="I11" s="34">
        <v>100</v>
      </c>
    </row>
    <row r="12" spans="1:14" ht="15" customHeight="1" x14ac:dyDescent="0.25">
      <c r="A12" s="26">
        <v>7</v>
      </c>
      <c r="B12" s="26" t="str">
        <v>33.04.07</v>
      </c>
      <c r="C12" s="32" t="str">
        <v>SIGALUH</v>
      </c>
      <c r="D12" s="27">
        <v>16731</v>
      </c>
      <c r="E12" s="28">
        <v>50.453846385814657</v>
      </c>
      <c r="F12" s="27">
        <v>16430</v>
      </c>
      <c r="G12" s="33">
        <v>49.546153614185343</v>
      </c>
      <c r="H12" s="29">
        <v>33161</v>
      </c>
      <c r="I12" s="34">
        <v>100</v>
      </c>
    </row>
    <row r="13" spans="1:14" ht="15" customHeight="1" x14ac:dyDescent="0.25">
      <c r="A13" s="26">
        <v>8</v>
      </c>
      <c r="B13" s="26" t="str">
        <v>33.04.08</v>
      </c>
      <c r="C13" s="32" t="str">
        <v>MADUKARA</v>
      </c>
      <c r="D13" s="27">
        <v>24165</v>
      </c>
      <c r="E13" s="28">
        <v>51.046705676081025</v>
      </c>
      <c r="F13" s="27">
        <v>23174</v>
      </c>
      <c r="G13" s="33">
        <v>48.953294323918968</v>
      </c>
      <c r="H13" s="29">
        <v>47339</v>
      </c>
      <c r="I13" s="34">
        <v>100</v>
      </c>
    </row>
    <row r="14" spans="1:14" ht="15" customHeight="1" x14ac:dyDescent="0.25">
      <c r="A14" s="26">
        <v>9</v>
      </c>
      <c r="B14" s="26" t="str">
        <v>33.04.09</v>
      </c>
      <c r="C14" s="32" t="str">
        <v>BANJARMANGU</v>
      </c>
      <c r="D14" s="27">
        <v>24606</v>
      </c>
      <c r="E14" s="28">
        <v>51.194241011984019</v>
      </c>
      <c r="F14" s="27">
        <v>23458</v>
      </c>
      <c r="G14" s="33">
        <v>48.805758988015981</v>
      </c>
      <c r="H14" s="29">
        <v>48064</v>
      </c>
      <c r="I14" s="34">
        <v>100</v>
      </c>
    </row>
    <row r="15" spans="1:14" ht="15" customHeight="1" x14ac:dyDescent="0.25">
      <c r="A15" s="26">
        <v>10</v>
      </c>
      <c r="B15" s="26" t="str">
        <v>33.04.10</v>
      </c>
      <c r="C15" s="32" t="str">
        <v>WANADADI</v>
      </c>
      <c r="D15" s="27">
        <v>18104</v>
      </c>
      <c r="E15" s="28">
        <v>50.547241456332372</v>
      </c>
      <c r="F15" s="27">
        <v>17712</v>
      </c>
      <c r="G15" s="33">
        <v>49.452758543667635</v>
      </c>
      <c r="H15" s="29">
        <v>35816</v>
      </c>
      <c r="I15" s="34">
        <v>100</v>
      </c>
      <c r="N15" s="21" t="s">
        <v>586</v>
      </c>
    </row>
    <row r="16" spans="1:14" ht="15" customHeight="1" x14ac:dyDescent="0.25">
      <c r="A16" s="26">
        <v>11</v>
      </c>
      <c r="B16" s="26" t="str">
        <v>33.04.11</v>
      </c>
      <c r="C16" s="32" t="str">
        <v>RAKIT</v>
      </c>
      <c r="D16" s="27">
        <v>28921</v>
      </c>
      <c r="E16" s="28">
        <v>50.509090274018057</v>
      </c>
      <c r="F16" s="27">
        <v>28338</v>
      </c>
      <c r="G16" s="33">
        <v>49.490909725981943</v>
      </c>
      <c r="H16" s="29">
        <v>57259</v>
      </c>
      <c r="I16" s="34">
        <v>100</v>
      </c>
    </row>
    <row r="17" spans="1:11" ht="15" customHeight="1" x14ac:dyDescent="0.25">
      <c r="A17" s="26">
        <v>12</v>
      </c>
      <c r="B17" s="26" t="str">
        <v>33.04.12</v>
      </c>
      <c r="C17" s="32" t="str">
        <v>PUNGGELAN</v>
      </c>
      <c r="D17" s="27">
        <v>47894</v>
      </c>
      <c r="E17" s="28">
        <v>51.226268784426978</v>
      </c>
      <c r="F17" s="27">
        <v>45601</v>
      </c>
      <c r="G17" s="33">
        <v>48.773731215573022</v>
      </c>
      <c r="H17" s="29">
        <v>93495</v>
      </c>
      <c r="I17" s="34">
        <v>100</v>
      </c>
    </row>
    <row r="18" spans="1:11" ht="15" customHeight="1" x14ac:dyDescent="0.25">
      <c r="A18" s="26">
        <v>13</v>
      </c>
      <c r="B18" s="26" t="str">
        <v>33.04.13</v>
      </c>
      <c r="C18" s="32" t="str">
        <v>KARANGKOBAR</v>
      </c>
      <c r="D18" s="27">
        <v>17252</v>
      </c>
      <c r="E18" s="28">
        <v>51.657334491121951</v>
      </c>
      <c r="F18" s="27">
        <v>16145</v>
      </c>
      <c r="G18" s="33">
        <v>48.342665508878042</v>
      </c>
      <c r="H18" s="29">
        <v>33397</v>
      </c>
      <c r="I18" s="34">
        <v>100</v>
      </c>
    </row>
    <row r="19" spans="1:11" ht="15" customHeight="1" x14ac:dyDescent="0.25">
      <c r="A19" s="26">
        <v>14</v>
      </c>
      <c r="B19" s="26" t="str">
        <v>33.04.14</v>
      </c>
      <c r="C19" s="32" t="str">
        <v>PAGENTAN</v>
      </c>
      <c r="D19" s="27">
        <v>20917</v>
      </c>
      <c r="E19" s="28">
        <v>51.125559113240293</v>
      </c>
      <c r="F19" s="27">
        <v>19996</v>
      </c>
      <c r="G19" s="33">
        <v>48.874440886759707</v>
      </c>
      <c r="H19" s="29">
        <v>40913</v>
      </c>
      <c r="I19" s="34">
        <v>100</v>
      </c>
    </row>
    <row r="20" spans="1:11" ht="15" customHeight="1" x14ac:dyDescent="0.25">
      <c r="A20" s="26">
        <v>15</v>
      </c>
      <c r="B20" s="26" t="str">
        <v>33.04.15</v>
      </c>
      <c r="C20" s="32" t="str">
        <v>PEJAWARAN</v>
      </c>
      <c r="D20" s="27">
        <v>24555</v>
      </c>
      <c r="E20" s="28">
        <v>51.899055227950029</v>
      </c>
      <c r="F20" s="27">
        <v>22758</v>
      </c>
      <c r="G20" s="33">
        <v>48.100944772049964</v>
      </c>
      <c r="H20" s="29">
        <v>47313</v>
      </c>
      <c r="I20" s="34">
        <v>100</v>
      </c>
    </row>
    <row r="21" spans="1:11" ht="15" customHeight="1" x14ac:dyDescent="0.25">
      <c r="A21" s="26">
        <v>16</v>
      </c>
      <c r="B21" s="26" t="str">
        <v>33.04.16</v>
      </c>
      <c r="C21" s="32" t="str">
        <v>BATUR</v>
      </c>
      <c r="D21" s="27">
        <v>22632</v>
      </c>
      <c r="E21" s="28">
        <v>51.562927184908411</v>
      </c>
      <c r="F21" s="27">
        <v>21260</v>
      </c>
      <c r="G21" s="33">
        <v>48.437072815091589</v>
      </c>
      <c r="H21" s="29">
        <v>43892</v>
      </c>
      <c r="I21" s="34">
        <v>100</v>
      </c>
    </row>
    <row r="22" spans="1:11" ht="15" customHeight="1" x14ac:dyDescent="0.25">
      <c r="A22" s="26">
        <v>17</v>
      </c>
      <c r="B22" s="26" t="str">
        <v>33.04.17</v>
      </c>
      <c r="C22" s="32" t="str">
        <v>WANAYASA</v>
      </c>
      <c r="D22" s="27">
        <v>27386</v>
      </c>
      <c r="E22" s="28">
        <v>51.655129486768395</v>
      </c>
      <c r="F22" s="27">
        <v>25631</v>
      </c>
      <c r="G22" s="33">
        <v>48.344870513231605</v>
      </c>
      <c r="H22" s="29">
        <v>53017</v>
      </c>
      <c r="I22" s="34">
        <v>100</v>
      </c>
    </row>
    <row r="23" spans="1:11" ht="15" customHeight="1" x14ac:dyDescent="0.25">
      <c r="A23" s="26">
        <v>18</v>
      </c>
      <c r="B23" s="26" t="str">
        <v>33.04.18</v>
      </c>
      <c r="C23" s="32" t="str">
        <v>KALIBENING</v>
      </c>
      <c r="D23" s="27">
        <v>25368</v>
      </c>
      <c r="E23" s="28">
        <v>51.197804193828333</v>
      </c>
      <c r="F23" s="27">
        <v>24181</v>
      </c>
      <c r="G23" s="33">
        <v>48.802195806171667</v>
      </c>
      <c r="H23" s="29">
        <v>49549</v>
      </c>
      <c r="I23" s="34">
        <v>100</v>
      </c>
    </row>
    <row r="24" spans="1:11" ht="15" customHeight="1" x14ac:dyDescent="0.25">
      <c r="A24" s="26">
        <v>19</v>
      </c>
      <c r="B24" s="26" t="str">
        <v>33.04.19</v>
      </c>
      <c r="C24" s="32" t="str">
        <v>PANDANARUM</v>
      </c>
      <c r="D24" s="27">
        <v>12261</v>
      </c>
      <c r="E24" s="28">
        <v>51.372187539280176</v>
      </c>
      <c r="F24" s="27">
        <v>11606</v>
      </c>
      <c r="G24" s="33">
        <v>48.627812460719824</v>
      </c>
      <c r="H24" s="29">
        <v>23867</v>
      </c>
      <c r="I24" s="34">
        <v>100</v>
      </c>
    </row>
    <row r="25" spans="1:11" ht="15" customHeight="1" x14ac:dyDescent="0.25">
      <c r="A25" s="26">
        <v>20</v>
      </c>
      <c r="B25" s="26" t="str">
        <v>33.04.20</v>
      </c>
      <c r="C25" s="32" t="str">
        <v>PAGEDONGAN</v>
      </c>
      <c r="D25" s="27">
        <v>23196</v>
      </c>
      <c r="E25" s="28">
        <v>51.193996910174356</v>
      </c>
      <c r="F25" s="27">
        <v>22114</v>
      </c>
      <c r="G25" s="33">
        <v>48.806003089825644</v>
      </c>
      <c r="H25" s="29">
        <v>45310</v>
      </c>
      <c r="I25" s="34">
        <v>100</v>
      </c>
    </row>
    <row r="26" spans="1:11" ht="15" customHeight="1" x14ac:dyDescent="0.25">
      <c r="A26" s="77" t="s">
        <v>582</v>
      </c>
      <c r="B26" s="77"/>
      <c r="C26" s="77"/>
      <c r="D26" s="35">
        <f>SUM(D6:D25)</f>
        <v>548744</v>
      </c>
      <c r="E26" s="36">
        <f>D26/$H$26*100</f>
        <v>50.896058677420733</v>
      </c>
      <c r="F26" s="35">
        <f>SUM(F6:F25)</f>
        <v>529422</v>
      </c>
      <c r="G26" s="36">
        <f>F26/$H$26*100</f>
        <v>49.103941322579267</v>
      </c>
      <c r="H26" s="37">
        <f>SUM(H6:H25)</f>
        <v>1078166</v>
      </c>
      <c r="I26" s="38">
        <f>(D26+F26)/H26*100</f>
        <v>100</v>
      </c>
      <c r="K26" s="31"/>
    </row>
  </sheetData>
  <sheetProtection algorithmName="SHA-512" hashValue="IXfSWVtU0cY1PcKkWd3lEbXGP1kP3OT/N0fN0ua70notmnO/DE5yle8dunFcKXaUSzWev9migKTSlq2MZAuVjw==" saltValue="itEgIdUkVMaJCdjCHdpFIw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/>
  <ignoredErrors>
    <ignoredError sqref="G26 E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1"/>
  <sheetViews>
    <sheetView workbookViewId="0">
      <selection activeCell="C6" sqref="C6"/>
    </sheetView>
  </sheetViews>
  <sheetFormatPr defaultColWidth="8.85546875" defaultRowHeight="15" x14ac:dyDescent="0.25"/>
  <cols>
    <col min="1" max="1" width="4.42578125" style="21" customWidth="1"/>
    <col min="2" max="2" width="8.85546875" style="21"/>
    <col min="3" max="3" width="19" style="21" bestFit="1" customWidth="1"/>
    <col min="4" max="16384" width="8.85546875" style="21"/>
  </cols>
  <sheetData>
    <row r="1" spans="1:9" x14ac:dyDescent="0.25">
      <c r="A1" s="72" t="s">
        <v>587</v>
      </c>
      <c r="B1" s="72"/>
      <c r="C1" s="72"/>
      <c r="D1" s="72"/>
      <c r="E1" s="72"/>
      <c r="F1" s="72"/>
      <c r="G1" s="72"/>
      <c r="H1" s="72"/>
      <c r="I1" s="72"/>
    </row>
    <row r="3" spans="1:9" ht="15" customHeight="1" x14ac:dyDescent="0.25">
      <c r="A3" s="86" t="s">
        <v>588</v>
      </c>
      <c r="B3" s="86"/>
      <c r="C3" s="86"/>
      <c r="D3" s="86"/>
      <c r="E3" s="86"/>
      <c r="F3" s="86"/>
      <c r="G3" s="86"/>
      <c r="H3" s="86"/>
      <c r="I3" s="86"/>
    </row>
    <row r="4" spans="1:9" ht="15" customHeight="1" x14ac:dyDescent="0.25">
      <c r="A4" s="83" t="s">
        <v>573</v>
      </c>
      <c r="B4" s="83" t="s">
        <v>589</v>
      </c>
      <c r="C4" s="83"/>
      <c r="D4" s="84" t="s">
        <v>575</v>
      </c>
      <c r="E4" s="84"/>
      <c r="F4" s="84" t="s">
        <v>576</v>
      </c>
      <c r="G4" s="84"/>
      <c r="H4" s="85" t="s">
        <v>577</v>
      </c>
      <c r="I4" s="85"/>
    </row>
    <row r="5" spans="1:9" ht="15" customHeight="1" x14ac:dyDescent="0.25">
      <c r="A5" s="83"/>
      <c r="B5" s="39" t="s">
        <v>578</v>
      </c>
      <c r="C5" s="39" t="s">
        <v>579</v>
      </c>
      <c r="D5" s="40" t="s">
        <v>577</v>
      </c>
      <c r="E5" s="40" t="s">
        <v>580</v>
      </c>
      <c r="F5" s="40" t="s">
        <v>577</v>
      </c>
      <c r="G5" s="40" t="s">
        <v>580</v>
      </c>
      <c r="H5" s="41" t="s">
        <v>590</v>
      </c>
      <c r="I5" s="41" t="s">
        <v>580</v>
      </c>
    </row>
    <row r="6" spans="1:9" ht="15" customHeight="1" x14ac:dyDescent="0.25">
      <c r="A6" s="42">
        <v>1</v>
      </c>
      <c r="B6" s="42" t="str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43" t="str">
        <f t="array" ref="C6:D20">_xlfn._xlws.FILTER('AGR_JK_3304_KAB. BANJARNEGARA'!$C$3:$D$300,(LEN('AGR_JK_3304_KAB. BANJARNEGARA'!$B$3:$B$300)=13)*(LEFT('AGR_JK_3304_KAB. BANJARNEGARA'!$B$3:$B$300,8)=MID(A3,13,8)))</f>
        <v>BERTA</v>
      </c>
      <c r="D6" s="27">
        <v>2073</v>
      </c>
      <c r="E6" s="33">
        <f t="array" ref="E6:E20">D6:D20/$H$6:$H$20*100</f>
        <v>51.350012385434731</v>
      </c>
      <c r="F6" s="27">
        <f t="array" ref="F6:F20">_xlfn._xlws.FILTER('AGR_JK_3304_KAB. BANJARNEGARA'!$E$3:$E$300,(LEN('AGR_JK_3304_KAB. BANJARNEGARA'!$B$3:$B$300)=13)*(LEFT('AGR_JK_3304_KAB. BANJARNEGARA'!$B$3:$B$300,8)=MID(A3,13,8)))</f>
        <v>1964</v>
      </c>
      <c r="G6" s="33">
        <f t="array" ref="G6:G20">F6:F20/$H$6:$H$20*100</f>
        <v>48.649987614565269</v>
      </c>
      <c r="H6" s="29">
        <f t="array" ref="H6:H20">_xlfn._xlws.FILTER('AGR_JK_3304_KAB. BANJARNEGARA'!$F$3:$F$300,(LEN('AGR_JK_3304_KAB. BANJARNEGARA'!$B$3:$B$300)=13)*(LEFT('AGR_JK_3304_KAB. BANJARNEGARA'!$B$3:$B$300,8)=MID(A3,13,8)))</f>
        <v>4037</v>
      </c>
      <c r="I6" s="34">
        <f t="array" ref="I6:I20">H6:H20/$H$6:$H$20*100</f>
        <v>100</v>
      </c>
    </row>
    <row r="7" spans="1:9" ht="15" customHeight="1" x14ac:dyDescent="0.25">
      <c r="A7" s="42">
        <v>2</v>
      </c>
      <c r="B7" s="42" t="str">
        <v>2002</v>
      </c>
      <c r="C7" s="43" t="str">
        <v>DERIK</v>
      </c>
      <c r="D7" s="27">
        <v>2165</v>
      </c>
      <c r="E7" s="33">
        <v>50.034666050381325</v>
      </c>
      <c r="F7" s="27">
        <v>2162</v>
      </c>
      <c r="G7" s="33">
        <v>49.965333949618675</v>
      </c>
      <c r="H7" s="29">
        <v>4327</v>
      </c>
      <c r="I7" s="34">
        <v>100</v>
      </c>
    </row>
    <row r="8" spans="1:9" ht="15" customHeight="1" x14ac:dyDescent="0.25">
      <c r="A8" s="42">
        <v>3</v>
      </c>
      <c r="B8" s="42" t="str">
        <v>2003</v>
      </c>
      <c r="C8" s="44" t="str">
        <v>GUMELEM WETAN</v>
      </c>
      <c r="D8" s="27">
        <v>5556</v>
      </c>
      <c r="E8" s="33">
        <v>50.921088809458347</v>
      </c>
      <c r="F8" s="27">
        <v>5355</v>
      </c>
      <c r="G8" s="33">
        <v>49.07891119054166</v>
      </c>
      <c r="H8" s="29">
        <v>10911</v>
      </c>
      <c r="I8" s="34">
        <v>100</v>
      </c>
    </row>
    <row r="9" spans="1:9" ht="15" customHeight="1" x14ac:dyDescent="0.25">
      <c r="A9" s="42">
        <v>4</v>
      </c>
      <c r="B9" s="42" t="str">
        <v>2004</v>
      </c>
      <c r="C9" s="43" t="str">
        <v>GUMELEM KULON</v>
      </c>
      <c r="D9" s="27">
        <v>5537</v>
      </c>
      <c r="E9" s="33">
        <v>50.501641736592482</v>
      </c>
      <c r="F9" s="27">
        <v>5427</v>
      </c>
      <c r="G9" s="33">
        <v>49.498358263407518</v>
      </c>
      <c r="H9" s="29">
        <v>10964</v>
      </c>
      <c r="I9" s="34">
        <v>100</v>
      </c>
    </row>
    <row r="10" spans="1:9" ht="15" customHeight="1" x14ac:dyDescent="0.25">
      <c r="A10" s="42">
        <v>5</v>
      </c>
      <c r="B10" s="42" t="str">
        <v>2005</v>
      </c>
      <c r="C10" s="44" t="str">
        <v>PENARUSAN WETAN</v>
      </c>
      <c r="D10" s="27">
        <v>1485</v>
      </c>
      <c r="E10" s="33">
        <v>50.084317032040474</v>
      </c>
      <c r="F10" s="27">
        <v>1480</v>
      </c>
      <c r="G10" s="33">
        <v>49.915682967959526</v>
      </c>
      <c r="H10" s="29">
        <v>2965</v>
      </c>
      <c r="I10" s="34">
        <v>100</v>
      </c>
    </row>
    <row r="11" spans="1:9" ht="15" customHeight="1" x14ac:dyDescent="0.25">
      <c r="A11" s="42">
        <v>6</v>
      </c>
      <c r="B11" s="42" t="str">
        <v>2006</v>
      </c>
      <c r="C11" s="44" t="str">
        <v>PENARUSAN KULON</v>
      </c>
      <c r="D11" s="27">
        <v>1371</v>
      </c>
      <c r="E11" s="33">
        <v>49.981771782719647</v>
      </c>
      <c r="F11" s="27">
        <v>1372</v>
      </c>
      <c r="G11" s="33">
        <v>50.018228217280345</v>
      </c>
      <c r="H11" s="29">
        <v>2743</v>
      </c>
      <c r="I11" s="34">
        <v>100</v>
      </c>
    </row>
    <row r="12" spans="1:9" ht="15" customHeight="1" x14ac:dyDescent="0.25">
      <c r="A12" s="42">
        <v>7</v>
      </c>
      <c r="B12" s="42" t="str">
        <v>2007</v>
      </c>
      <c r="C12" s="43" t="str">
        <v>BRENGKOK</v>
      </c>
      <c r="D12" s="27">
        <v>1480</v>
      </c>
      <c r="E12" s="33">
        <v>51.140290255701451</v>
      </c>
      <c r="F12" s="27">
        <v>1414</v>
      </c>
      <c r="G12" s="33">
        <v>48.859709744298549</v>
      </c>
      <c r="H12" s="29">
        <v>2894</v>
      </c>
      <c r="I12" s="34">
        <v>100</v>
      </c>
    </row>
    <row r="13" spans="1:9" ht="15" customHeight="1" x14ac:dyDescent="0.25">
      <c r="A13" s="42">
        <v>8</v>
      </c>
      <c r="B13" s="42" t="str">
        <v>2008</v>
      </c>
      <c r="C13" s="43" t="str">
        <v>PEKIKIRAN</v>
      </c>
      <c r="D13" s="27">
        <v>1459</v>
      </c>
      <c r="E13" s="33">
        <v>51.175026306559104</v>
      </c>
      <c r="F13" s="27">
        <v>1392</v>
      </c>
      <c r="G13" s="33">
        <v>48.824973693440896</v>
      </c>
      <c r="H13" s="29">
        <v>2851</v>
      </c>
      <c r="I13" s="34">
        <v>100</v>
      </c>
    </row>
    <row r="14" spans="1:9" ht="15" customHeight="1" x14ac:dyDescent="0.25">
      <c r="A14" s="42">
        <v>9</v>
      </c>
      <c r="B14" s="42" t="str">
        <v>2009</v>
      </c>
      <c r="C14" s="43" t="str">
        <v>PIASA WETAN</v>
      </c>
      <c r="D14" s="45">
        <v>651</v>
      </c>
      <c r="E14" s="33">
        <v>48.984198645598191</v>
      </c>
      <c r="F14" s="45">
        <v>678</v>
      </c>
      <c r="G14" s="33">
        <v>51.015801354401802</v>
      </c>
      <c r="H14" s="29">
        <v>1329</v>
      </c>
      <c r="I14" s="34">
        <v>100</v>
      </c>
    </row>
    <row r="15" spans="1:9" ht="15" customHeight="1" x14ac:dyDescent="0.25">
      <c r="A15" s="42">
        <v>10</v>
      </c>
      <c r="B15" s="42" t="str">
        <v>2010</v>
      </c>
      <c r="C15" s="43" t="str">
        <v>KARANGSALAM</v>
      </c>
      <c r="D15" s="27">
        <v>1423</v>
      </c>
      <c r="E15" s="33">
        <v>48.984509466437174</v>
      </c>
      <c r="F15" s="27">
        <v>1482</v>
      </c>
      <c r="G15" s="33">
        <v>51.015490533562826</v>
      </c>
      <c r="H15" s="29">
        <v>2905</v>
      </c>
      <c r="I15" s="34">
        <v>100</v>
      </c>
    </row>
    <row r="16" spans="1:9" ht="15" customHeight="1" x14ac:dyDescent="0.25">
      <c r="A16" s="42">
        <v>11</v>
      </c>
      <c r="B16" s="42" t="str">
        <v>2011</v>
      </c>
      <c r="C16" s="43" t="str">
        <v>KEMRANGGON</v>
      </c>
      <c r="D16" s="27">
        <v>1772</v>
      </c>
      <c r="E16" s="33">
        <v>49.929557621865314</v>
      </c>
      <c r="F16" s="27">
        <v>1777</v>
      </c>
      <c r="G16" s="33">
        <v>50.070442378134686</v>
      </c>
      <c r="H16" s="29">
        <v>3549</v>
      </c>
      <c r="I16" s="34">
        <v>100</v>
      </c>
    </row>
    <row r="17" spans="1:9" ht="15" customHeight="1" x14ac:dyDescent="0.25">
      <c r="A17" s="42">
        <v>12</v>
      </c>
      <c r="B17" s="42" t="str">
        <v>2012</v>
      </c>
      <c r="C17" s="43" t="str">
        <v>SUSUKAN</v>
      </c>
      <c r="D17" s="27">
        <v>2092</v>
      </c>
      <c r="E17" s="33">
        <v>51.539788125153976</v>
      </c>
      <c r="F17" s="27">
        <v>1967</v>
      </c>
      <c r="G17" s="33">
        <v>48.460211874846024</v>
      </c>
      <c r="H17" s="29">
        <v>4059</v>
      </c>
      <c r="I17" s="34">
        <v>100</v>
      </c>
    </row>
    <row r="18" spans="1:9" ht="15" customHeight="1" x14ac:dyDescent="0.25">
      <c r="A18" s="42">
        <v>13</v>
      </c>
      <c r="B18" s="42" t="str">
        <v>2013</v>
      </c>
      <c r="C18" s="43" t="str">
        <v>DERMASARI</v>
      </c>
      <c r="D18" s="27">
        <v>1475</v>
      </c>
      <c r="E18" s="33">
        <v>49.298128342245988</v>
      </c>
      <c r="F18" s="27">
        <v>1517</v>
      </c>
      <c r="G18" s="33">
        <v>50.701871657754005</v>
      </c>
      <c r="H18" s="29">
        <v>2992</v>
      </c>
      <c r="I18" s="34">
        <v>100</v>
      </c>
    </row>
    <row r="19" spans="1:9" ht="15" customHeight="1" x14ac:dyDescent="0.25">
      <c r="A19" s="42">
        <v>14</v>
      </c>
      <c r="B19" s="42" t="str">
        <v>2014</v>
      </c>
      <c r="C19" s="43" t="str">
        <v>KEDAWUNG</v>
      </c>
      <c r="D19" s="27">
        <v>2274</v>
      </c>
      <c r="E19" s="33">
        <v>50.443655723158834</v>
      </c>
      <c r="F19" s="27">
        <v>2234</v>
      </c>
      <c r="G19" s="33">
        <v>49.556344276841166</v>
      </c>
      <c r="H19" s="29">
        <v>4508</v>
      </c>
      <c r="I19" s="34">
        <v>100</v>
      </c>
    </row>
    <row r="20" spans="1:9" ht="15" customHeight="1" x14ac:dyDescent="0.25">
      <c r="A20" s="42">
        <v>15</v>
      </c>
      <c r="B20" s="42" t="str">
        <v>2015</v>
      </c>
      <c r="C20" s="43" t="str">
        <v>KARANGJATI</v>
      </c>
      <c r="D20" s="27">
        <v>2460</v>
      </c>
      <c r="E20" s="33">
        <v>50.020333468889788</v>
      </c>
      <c r="F20" s="27">
        <v>2458</v>
      </c>
      <c r="G20" s="33">
        <v>49.979666531110205</v>
      </c>
      <c r="H20" s="29">
        <v>4918</v>
      </c>
      <c r="I20" s="34">
        <v>100</v>
      </c>
    </row>
    <row r="21" spans="1:9" ht="15" customHeight="1" x14ac:dyDescent="0.25">
      <c r="A21" s="78" t="s">
        <v>577</v>
      </c>
      <c r="B21" s="78"/>
      <c r="C21" s="78"/>
      <c r="D21" s="46">
        <f>SUM(D6:D20)</f>
        <v>33273</v>
      </c>
      <c r="E21" s="47">
        <f>D21/$H$21*100</f>
        <v>50.450327510917027</v>
      </c>
      <c r="F21" s="46">
        <f>SUM(F6:F20)</f>
        <v>32679</v>
      </c>
      <c r="G21" s="47">
        <f>F21/$H$21*100</f>
        <v>49.549672489082965</v>
      </c>
      <c r="H21" s="46">
        <f>SUM(H6:H20)</f>
        <v>65952</v>
      </c>
      <c r="I21" s="48">
        <f>H21/$H$21*100</f>
        <v>100</v>
      </c>
    </row>
    <row r="22" spans="1:9" ht="15" customHeight="1" x14ac:dyDescent="0.25">
      <c r="A22" s="86" t="s">
        <v>591</v>
      </c>
      <c r="B22" s="86"/>
      <c r="C22" s="86"/>
      <c r="D22" s="86"/>
      <c r="E22" s="86"/>
      <c r="F22" s="86"/>
      <c r="G22" s="86"/>
      <c r="H22" s="86"/>
      <c r="I22" s="86"/>
    </row>
    <row r="23" spans="1:9" ht="15" customHeight="1" x14ac:dyDescent="0.25">
      <c r="A23" s="83" t="s">
        <v>573</v>
      </c>
      <c r="B23" s="83" t="s">
        <v>589</v>
      </c>
      <c r="C23" s="83"/>
      <c r="D23" s="84" t="s">
        <v>575</v>
      </c>
      <c r="E23" s="84"/>
      <c r="F23" s="84" t="s">
        <v>576</v>
      </c>
      <c r="G23" s="84"/>
      <c r="H23" s="85" t="s">
        <v>577</v>
      </c>
      <c r="I23" s="85"/>
    </row>
    <row r="24" spans="1:9" ht="15" customHeight="1" x14ac:dyDescent="0.25">
      <c r="A24" s="83"/>
      <c r="B24" s="39" t="s">
        <v>578</v>
      </c>
      <c r="C24" s="39" t="s">
        <v>579</v>
      </c>
      <c r="D24" s="40" t="s">
        <v>577</v>
      </c>
      <c r="E24" s="40" t="s">
        <v>580</v>
      </c>
      <c r="F24" s="40" t="s">
        <v>577</v>
      </c>
      <c r="G24" s="40" t="s">
        <v>580</v>
      </c>
      <c r="H24" s="41" t="s">
        <v>590</v>
      </c>
      <c r="I24" s="41" t="s">
        <v>580</v>
      </c>
    </row>
    <row r="25" spans="1:9" ht="15" customHeight="1" x14ac:dyDescent="0.25">
      <c r="A25" s="42">
        <v>16</v>
      </c>
      <c r="B25" s="42" t="str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43" t="str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7">
        <v>3966</v>
      </c>
      <c r="E25" s="33">
        <f t="array" ref="E25:E32">D25:D32/$H$25:$H$32*100</f>
        <v>50.006304375236411</v>
      </c>
      <c r="F25" s="27">
        <f t="array" ref="F25:F32">_xlfn._xlws.FILTER('AGR_JK_3304_KAB. BANJARNEGARA'!$E$3:$E$300,(LEN('AGR_JK_3304_KAB. BANJARNEGARA'!$B$3:$B$300)=13)*(LEFT('AGR_JK_3304_KAB. BANJARNEGARA'!$B$3:$B$300,8)=MID(A22,13,8)))</f>
        <v>3965</v>
      </c>
      <c r="G25" s="33">
        <f t="array" ref="G25:G32">F25:F32/$H$25:$H$32*100</f>
        <v>49.993695624763582</v>
      </c>
      <c r="H25" s="29">
        <f t="array" ref="H25:H32">_xlfn._xlws.FILTER('AGR_JK_3304_KAB. BANJARNEGARA'!$F$3:$F$300,(LEN('AGR_JK_3304_KAB. BANJARNEGARA'!$B$3:$B$300)=13)*(LEFT('AGR_JK_3304_KAB. BANJARNEGARA'!$B$3:$B$300,8)=MID(A22,13,8)))</f>
        <v>7931</v>
      </c>
      <c r="I25" s="34">
        <f t="array" ref="I25:I32">H25:H32/$H$25:$H$32*100</f>
        <v>100</v>
      </c>
    </row>
    <row r="26" spans="1:9" ht="15" customHeight="1" x14ac:dyDescent="0.25">
      <c r="A26" s="42">
        <v>17</v>
      </c>
      <c r="B26" s="42" t="str">
        <v>2002</v>
      </c>
      <c r="C26" s="43" t="str">
        <v>PAGAK</v>
      </c>
      <c r="D26" s="27">
        <v>1858</v>
      </c>
      <c r="E26" s="33">
        <v>50.502854036422939</v>
      </c>
      <c r="F26" s="27">
        <v>1821</v>
      </c>
      <c r="G26" s="33">
        <v>49.497145963577061</v>
      </c>
      <c r="H26" s="29">
        <v>3679</v>
      </c>
      <c r="I26" s="34">
        <v>100</v>
      </c>
    </row>
    <row r="27" spans="1:9" ht="15" customHeight="1" x14ac:dyDescent="0.25">
      <c r="A27" s="42">
        <v>18</v>
      </c>
      <c r="B27" s="42" t="str">
        <v>2003</v>
      </c>
      <c r="C27" s="43" t="str">
        <v>KECITRAN</v>
      </c>
      <c r="D27" s="27">
        <v>3137</v>
      </c>
      <c r="E27" s="33">
        <v>49.754163362410786</v>
      </c>
      <c r="F27" s="27">
        <v>3168</v>
      </c>
      <c r="G27" s="33">
        <v>50.245836637589214</v>
      </c>
      <c r="H27" s="29">
        <v>6305</v>
      </c>
      <c r="I27" s="34">
        <v>100</v>
      </c>
    </row>
    <row r="28" spans="1:9" ht="15" customHeight="1" x14ac:dyDescent="0.25">
      <c r="A28" s="42">
        <v>19</v>
      </c>
      <c r="B28" s="42" t="str">
        <v>2004</v>
      </c>
      <c r="C28" s="43" t="str">
        <v>PURWAREJA</v>
      </c>
      <c r="D28" s="27">
        <v>4606</v>
      </c>
      <c r="E28" s="33">
        <v>50.559824368825467</v>
      </c>
      <c r="F28" s="27">
        <v>4504</v>
      </c>
      <c r="G28" s="33">
        <v>49.440175631174533</v>
      </c>
      <c r="H28" s="29">
        <v>9110</v>
      </c>
      <c r="I28" s="34">
        <v>100</v>
      </c>
    </row>
    <row r="29" spans="1:9" ht="15" customHeight="1" x14ac:dyDescent="0.25">
      <c r="A29" s="42">
        <v>20</v>
      </c>
      <c r="B29" s="42" t="str">
        <v>2005</v>
      </c>
      <c r="C29" s="43" t="str">
        <v>KLAMPOK</v>
      </c>
      <c r="D29" s="27">
        <v>3600</v>
      </c>
      <c r="E29" s="33">
        <v>49.875311720698257</v>
      </c>
      <c r="F29" s="27">
        <v>3618</v>
      </c>
      <c r="G29" s="33">
        <v>50.124688279301743</v>
      </c>
      <c r="H29" s="29">
        <v>7218</v>
      </c>
      <c r="I29" s="34">
        <v>100</v>
      </c>
    </row>
    <row r="30" spans="1:9" ht="15" customHeight="1" x14ac:dyDescent="0.25">
      <c r="A30" s="42">
        <v>21</v>
      </c>
      <c r="B30" s="42" t="str">
        <v>2006</v>
      </c>
      <c r="C30" s="43" t="str">
        <v>KALILANDAK</v>
      </c>
      <c r="D30" s="27">
        <v>1845</v>
      </c>
      <c r="E30" s="33">
        <v>50.122249388753062</v>
      </c>
      <c r="F30" s="27">
        <v>1836</v>
      </c>
      <c r="G30" s="33">
        <v>49.877750611246945</v>
      </c>
      <c r="H30" s="29">
        <v>3681</v>
      </c>
      <c r="I30" s="34">
        <v>100</v>
      </c>
    </row>
    <row r="31" spans="1:9" ht="15" customHeight="1" x14ac:dyDescent="0.25">
      <c r="A31" s="42">
        <v>22</v>
      </c>
      <c r="B31" s="42" t="str">
        <v>2007</v>
      </c>
      <c r="C31" s="43" t="str">
        <v>KALIMANDI</v>
      </c>
      <c r="D31" s="27">
        <v>3352</v>
      </c>
      <c r="E31" s="33">
        <v>51.300887664524033</v>
      </c>
      <c r="F31" s="27">
        <v>3182</v>
      </c>
      <c r="G31" s="33">
        <v>48.699112335475967</v>
      </c>
      <c r="H31" s="29">
        <v>6534</v>
      </c>
      <c r="I31" s="34">
        <v>100</v>
      </c>
    </row>
    <row r="32" spans="1:9" ht="15" customHeight="1" x14ac:dyDescent="0.25">
      <c r="A32" s="42">
        <v>23</v>
      </c>
      <c r="B32" s="42" t="str">
        <v>2008</v>
      </c>
      <c r="C32" s="43" t="str">
        <v>KALIWINASUH</v>
      </c>
      <c r="D32" s="27">
        <v>2633</v>
      </c>
      <c r="E32" s="33">
        <v>50.238504102270554</v>
      </c>
      <c r="F32" s="27">
        <v>2608</v>
      </c>
      <c r="G32" s="33">
        <v>49.761495897729439</v>
      </c>
      <c r="H32" s="29">
        <v>5241</v>
      </c>
      <c r="I32" s="34">
        <v>100</v>
      </c>
    </row>
    <row r="33" spans="1:10" ht="15" customHeight="1" x14ac:dyDescent="0.25">
      <c r="A33" s="78" t="s">
        <v>577</v>
      </c>
      <c r="B33" s="78"/>
      <c r="C33" s="78"/>
      <c r="D33" s="46">
        <f>SUM(D25:D32)</f>
        <v>24997</v>
      </c>
      <c r="E33" s="47">
        <f>D33/$H$33*100</f>
        <v>50.296786655667113</v>
      </c>
      <c r="F33" s="46">
        <f>SUM(F25:F32)</f>
        <v>24702</v>
      </c>
      <c r="G33" s="47">
        <f>F33/$H$33*100</f>
        <v>49.703213344332887</v>
      </c>
      <c r="H33" s="46">
        <f>SUM(H25:H32)</f>
        <v>49699</v>
      </c>
      <c r="I33" s="48">
        <f>H33/$H$33*100</f>
        <v>100</v>
      </c>
    </row>
    <row r="34" spans="1:10" ht="15" customHeight="1" x14ac:dyDescent="0.25">
      <c r="A34" s="86" t="s">
        <v>592</v>
      </c>
      <c r="B34" s="86"/>
      <c r="C34" s="86"/>
      <c r="D34" s="86"/>
      <c r="E34" s="86"/>
      <c r="F34" s="86"/>
      <c r="G34" s="86"/>
      <c r="H34" s="86"/>
      <c r="I34" s="86"/>
      <c r="J34" s="49"/>
    </row>
    <row r="35" spans="1:10" ht="15" customHeight="1" x14ac:dyDescent="0.25">
      <c r="A35" s="83" t="s">
        <v>573</v>
      </c>
      <c r="B35" s="83" t="s">
        <v>589</v>
      </c>
      <c r="C35" s="83"/>
      <c r="D35" s="84" t="s">
        <v>575</v>
      </c>
      <c r="E35" s="84"/>
      <c r="F35" s="84" t="s">
        <v>576</v>
      </c>
      <c r="G35" s="84"/>
      <c r="H35" s="85" t="s">
        <v>577</v>
      </c>
      <c r="I35" s="85"/>
      <c r="J35" s="49"/>
    </row>
    <row r="36" spans="1:10" ht="15" customHeight="1" x14ac:dyDescent="0.25">
      <c r="A36" s="83"/>
      <c r="B36" s="39" t="s">
        <v>578</v>
      </c>
      <c r="C36" s="39" t="s">
        <v>579</v>
      </c>
      <c r="D36" s="40" t="s">
        <v>577</v>
      </c>
      <c r="E36" s="40" t="s">
        <v>580</v>
      </c>
      <c r="F36" s="40" t="s">
        <v>577</v>
      </c>
      <c r="G36" s="40" t="s">
        <v>580</v>
      </c>
      <c r="H36" s="41" t="s">
        <v>590</v>
      </c>
      <c r="I36" s="41" t="s">
        <v>580</v>
      </c>
      <c r="J36" s="49"/>
    </row>
    <row r="37" spans="1:10" ht="15" customHeight="1" x14ac:dyDescent="0.25">
      <c r="A37" s="42">
        <v>24</v>
      </c>
      <c r="B37" s="42" t="str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43" t="str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7">
        <v>3112</v>
      </c>
      <c r="E37" s="33">
        <f t="array" ref="E37:E52">D37:D52/$H$37:$H$52*100</f>
        <v>50.717079530638856</v>
      </c>
      <c r="F37" s="27">
        <f t="array" ref="F37:F52">_xlfn._xlws.FILTER('AGR_JK_3304_KAB. BANJARNEGARA'!$E$3:$E$300,(LEN('AGR_JK_3304_KAB. BANJARNEGARA'!$B$3:$B$300)=13)*(LEFT('AGR_JK_3304_KAB. BANJARNEGARA'!$B$3:$B$300,8)=MID(A34,13,8)))</f>
        <v>3024</v>
      </c>
      <c r="G37" s="33">
        <f t="array" ref="G37:G52">F37:F52/$H$37:$H$52*100</f>
        <v>49.282920469361144</v>
      </c>
      <c r="H37" s="29">
        <f t="array" ref="H37:H52">_xlfn._xlws.FILTER('AGR_JK_3304_KAB. BANJARNEGARA'!$F$3:$F$300,(LEN('AGR_JK_3304_KAB. BANJARNEGARA'!$B$3:$B$300)=13)*(LEFT('AGR_JK_3304_KAB. BANJARNEGARA'!$B$3:$B$300,8)=MID(A34,13,8)))</f>
        <v>6136</v>
      </c>
      <c r="I37" s="34">
        <f t="array" ref="I37:I52">H37:H52/$H$37:$H$52*100</f>
        <v>100</v>
      </c>
      <c r="J37" s="49"/>
    </row>
    <row r="38" spans="1:10" ht="15" customHeight="1" x14ac:dyDescent="0.25">
      <c r="A38" s="42">
        <v>25</v>
      </c>
      <c r="B38" s="42" t="str">
        <v>2002</v>
      </c>
      <c r="C38" s="43" t="str">
        <v>SOMAWANGI</v>
      </c>
      <c r="D38" s="27">
        <v>4938</v>
      </c>
      <c r="E38" s="33">
        <v>50.096378208379832</v>
      </c>
      <c r="F38" s="27">
        <v>4919</v>
      </c>
      <c r="G38" s="33">
        <v>49.903621791620168</v>
      </c>
      <c r="H38" s="29">
        <v>9857</v>
      </c>
      <c r="I38" s="34">
        <v>100</v>
      </c>
      <c r="J38" s="49"/>
    </row>
    <row r="39" spans="1:10" ht="15" customHeight="1" x14ac:dyDescent="0.25">
      <c r="A39" s="42">
        <v>26</v>
      </c>
      <c r="B39" s="42" t="str">
        <v>2003</v>
      </c>
      <c r="C39" s="43" t="str">
        <v>KALIWUNGU</v>
      </c>
      <c r="D39" s="27">
        <v>2396</v>
      </c>
      <c r="E39" s="33">
        <v>49.854348730753223</v>
      </c>
      <c r="F39" s="27">
        <v>2410</v>
      </c>
      <c r="G39" s="33">
        <v>50.14565126924677</v>
      </c>
      <c r="H39" s="29">
        <v>4806</v>
      </c>
      <c r="I39" s="34">
        <v>100</v>
      </c>
      <c r="J39" s="49"/>
    </row>
    <row r="40" spans="1:10" ht="15" customHeight="1" x14ac:dyDescent="0.25">
      <c r="A40" s="42">
        <v>27</v>
      </c>
      <c r="B40" s="42" t="str">
        <v>2004</v>
      </c>
      <c r="C40" s="43" t="str">
        <v>KEBANARAN</v>
      </c>
      <c r="D40" s="27">
        <v>3125</v>
      </c>
      <c r="E40" s="33">
        <v>50.566343042071196</v>
      </c>
      <c r="F40" s="27">
        <v>3055</v>
      </c>
      <c r="G40" s="33">
        <v>49.433656957928804</v>
      </c>
      <c r="H40" s="29">
        <v>6180</v>
      </c>
      <c r="I40" s="34">
        <v>100</v>
      </c>
      <c r="J40" s="49"/>
    </row>
    <row r="41" spans="1:10" ht="15" customHeight="1" x14ac:dyDescent="0.25">
      <c r="A41" s="42">
        <v>28</v>
      </c>
      <c r="B41" s="42" t="str">
        <v>2005</v>
      </c>
      <c r="C41" s="43" t="str">
        <v>GLEMPANG</v>
      </c>
      <c r="D41" s="27">
        <v>3580</v>
      </c>
      <c r="E41" s="33">
        <v>50.593555681175808</v>
      </c>
      <c r="F41" s="27">
        <v>3496</v>
      </c>
      <c r="G41" s="33">
        <v>49.406444318824192</v>
      </c>
      <c r="H41" s="29">
        <v>7076</v>
      </c>
      <c r="I41" s="34">
        <v>100</v>
      </c>
      <c r="J41" s="49"/>
    </row>
    <row r="42" spans="1:10" ht="15" customHeight="1" x14ac:dyDescent="0.25">
      <c r="A42" s="42">
        <v>29</v>
      </c>
      <c r="B42" s="42" t="str">
        <v>2006</v>
      </c>
      <c r="C42" s="43" t="str">
        <v>SALAMERTA</v>
      </c>
      <c r="D42" s="27">
        <v>2774</v>
      </c>
      <c r="E42" s="33">
        <v>50.648165053861604</v>
      </c>
      <c r="F42" s="27">
        <v>2703</v>
      </c>
      <c r="G42" s="33">
        <v>49.351834946138396</v>
      </c>
      <c r="H42" s="29">
        <v>5477</v>
      </c>
      <c r="I42" s="34">
        <v>100</v>
      </c>
      <c r="J42" s="49"/>
    </row>
    <row r="43" spans="1:10" ht="15" customHeight="1" x14ac:dyDescent="0.25">
      <c r="A43" s="42">
        <v>30</v>
      </c>
      <c r="B43" s="42" t="str">
        <v>2007</v>
      </c>
      <c r="C43" s="43" t="str">
        <v>PURWASABA</v>
      </c>
      <c r="D43" s="27">
        <v>3903</v>
      </c>
      <c r="E43" s="33">
        <v>50.840171942164915</v>
      </c>
      <c r="F43" s="27">
        <v>3774</v>
      </c>
      <c r="G43" s="33">
        <v>49.159828057835092</v>
      </c>
      <c r="H43" s="29">
        <v>7677</v>
      </c>
      <c r="I43" s="34">
        <v>100</v>
      </c>
      <c r="J43" s="49"/>
    </row>
    <row r="44" spans="1:10" ht="15" customHeight="1" x14ac:dyDescent="0.25">
      <c r="A44" s="42">
        <v>31</v>
      </c>
      <c r="B44" s="42" t="str">
        <v>2008</v>
      </c>
      <c r="C44" s="43" t="str">
        <v>BLIMBING</v>
      </c>
      <c r="D44" s="27">
        <v>1424</v>
      </c>
      <c r="E44" s="33">
        <v>51.857246904588493</v>
      </c>
      <c r="F44" s="27">
        <v>1322</v>
      </c>
      <c r="G44" s="33">
        <v>48.142753095411507</v>
      </c>
      <c r="H44" s="29">
        <v>2746</v>
      </c>
      <c r="I44" s="34">
        <v>100</v>
      </c>
      <c r="J44" s="49"/>
    </row>
    <row r="45" spans="1:10" ht="15" customHeight="1" x14ac:dyDescent="0.25">
      <c r="A45" s="42">
        <v>32</v>
      </c>
      <c r="B45" s="42" t="str">
        <v>2009</v>
      </c>
      <c r="C45" s="43" t="str">
        <v>PANGGISARI</v>
      </c>
      <c r="D45" s="27">
        <v>2692</v>
      </c>
      <c r="E45" s="33">
        <v>50.167722698471863</v>
      </c>
      <c r="F45" s="27">
        <v>2674</v>
      </c>
      <c r="G45" s="33">
        <v>49.832277301528137</v>
      </c>
      <c r="H45" s="29">
        <v>5366</v>
      </c>
      <c r="I45" s="34">
        <v>100</v>
      </c>
      <c r="J45" s="49"/>
    </row>
    <row r="46" spans="1:10" ht="15" customHeight="1" x14ac:dyDescent="0.25">
      <c r="A46" s="42">
        <v>33</v>
      </c>
      <c r="B46" s="42" t="str">
        <v>2010</v>
      </c>
      <c r="C46" s="43" t="str">
        <v>CANDIWULAN</v>
      </c>
      <c r="D46" s="27">
        <v>1412</v>
      </c>
      <c r="E46" s="33">
        <v>50.177683013503902</v>
      </c>
      <c r="F46" s="27">
        <v>1402</v>
      </c>
      <c r="G46" s="33">
        <v>49.822316986496091</v>
      </c>
      <c r="H46" s="29">
        <v>2814</v>
      </c>
      <c r="I46" s="34">
        <v>100</v>
      </c>
      <c r="J46" s="49"/>
    </row>
    <row r="47" spans="1:10" ht="15" customHeight="1" x14ac:dyDescent="0.25">
      <c r="A47" s="42">
        <v>34</v>
      </c>
      <c r="B47" s="42" t="str">
        <v>2011</v>
      </c>
      <c r="C47" s="43" t="str">
        <v>SIMBANG</v>
      </c>
      <c r="D47" s="27">
        <v>1337</v>
      </c>
      <c r="E47" s="33">
        <v>50.112443778110951</v>
      </c>
      <c r="F47" s="27">
        <v>1331</v>
      </c>
      <c r="G47" s="33">
        <v>49.887556221889056</v>
      </c>
      <c r="H47" s="29">
        <v>2668</v>
      </c>
      <c r="I47" s="34">
        <v>100</v>
      </c>
      <c r="J47" s="49"/>
    </row>
    <row r="48" spans="1:10" ht="15" customHeight="1" x14ac:dyDescent="0.25">
      <c r="A48" s="42">
        <v>35</v>
      </c>
      <c r="B48" s="42" t="str">
        <v>2012</v>
      </c>
      <c r="C48" s="43" t="str">
        <v>KERTAYASA</v>
      </c>
      <c r="D48" s="27">
        <v>3703</v>
      </c>
      <c r="E48" s="33">
        <v>51.273885350318473</v>
      </c>
      <c r="F48" s="27">
        <v>3519</v>
      </c>
      <c r="G48" s="33">
        <v>48.726114649681527</v>
      </c>
      <c r="H48" s="29">
        <v>7222</v>
      </c>
      <c r="I48" s="34">
        <v>100</v>
      </c>
      <c r="J48" s="49"/>
    </row>
    <row r="49" spans="1:10" ht="15" customHeight="1" x14ac:dyDescent="0.25">
      <c r="A49" s="42">
        <v>36</v>
      </c>
      <c r="B49" s="42" t="str">
        <v>2013</v>
      </c>
      <c r="C49" s="43" t="str">
        <v>BANJENGAN</v>
      </c>
      <c r="D49" s="27">
        <v>1345</v>
      </c>
      <c r="E49" s="33">
        <v>50.908402725208177</v>
      </c>
      <c r="F49" s="27">
        <v>1297</v>
      </c>
      <c r="G49" s="33">
        <v>49.091597274791823</v>
      </c>
      <c r="H49" s="29">
        <v>2642</v>
      </c>
      <c r="I49" s="34">
        <v>100</v>
      </c>
      <c r="J49" s="49"/>
    </row>
    <row r="50" spans="1:10" ht="15" customHeight="1" x14ac:dyDescent="0.25">
      <c r="A50" s="42">
        <v>37</v>
      </c>
      <c r="B50" s="42" t="str">
        <v>2014</v>
      </c>
      <c r="C50" s="44" t="str">
        <v>MANDIRAJA KULON</v>
      </c>
      <c r="D50" s="27">
        <v>3271</v>
      </c>
      <c r="E50" s="33">
        <v>50.564229401762248</v>
      </c>
      <c r="F50" s="27">
        <v>3198</v>
      </c>
      <c r="G50" s="33">
        <v>49.435770598237752</v>
      </c>
      <c r="H50" s="29">
        <v>6469</v>
      </c>
      <c r="I50" s="34">
        <v>100</v>
      </c>
      <c r="J50" s="49"/>
    </row>
    <row r="51" spans="1:10" ht="15" customHeight="1" x14ac:dyDescent="0.25">
      <c r="A51" s="42">
        <v>38</v>
      </c>
      <c r="B51" s="42" t="str">
        <v>2015</v>
      </c>
      <c r="C51" s="43" t="str">
        <v>KEBAKALAN</v>
      </c>
      <c r="D51" s="45">
        <v>832</v>
      </c>
      <c r="E51" s="33">
        <v>50.731707317073173</v>
      </c>
      <c r="F51" s="45">
        <v>808</v>
      </c>
      <c r="G51" s="33">
        <v>49.268292682926827</v>
      </c>
      <c r="H51" s="29">
        <v>1640</v>
      </c>
      <c r="I51" s="34">
        <v>100</v>
      </c>
      <c r="J51" s="49"/>
    </row>
    <row r="52" spans="1:10" ht="15" customHeight="1" x14ac:dyDescent="0.25">
      <c r="A52" s="42">
        <v>39</v>
      </c>
      <c r="B52" s="42" t="str">
        <v>2016</v>
      </c>
      <c r="C52" s="44" t="str">
        <v>MANDIRAJA WETAN</v>
      </c>
      <c r="D52" s="27">
        <v>2637</v>
      </c>
      <c r="E52" s="33">
        <v>50.353255680733241</v>
      </c>
      <c r="F52" s="27">
        <v>2600</v>
      </c>
      <c r="G52" s="33">
        <v>49.646744319266759</v>
      </c>
      <c r="H52" s="29">
        <v>5237</v>
      </c>
      <c r="I52" s="34">
        <v>100</v>
      </c>
      <c r="J52" s="49"/>
    </row>
    <row r="53" spans="1:10" ht="15" customHeight="1" x14ac:dyDescent="0.25">
      <c r="A53" s="78" t="s">
        <v>577</v>
      </c>
      <c r="B53" s="78"/>
      <c r="C53" s="78"/>
      <c r="D53" s="46">
        <f>SUM(D37:D52)</f>
        <v>42481</v>
      </c>
      <c r="E53" s="47">
        <f>D53/$H$53*100</f>
        <v>50.564793543856311</v>
      </c>
      <c r="F53" s="46">
        <f>SUM(F37:F52)</f>
        <v>41532</v>
      </c>
      <c r="G53" s="47">
        <f>F53/$H$53*100</f>
        <v>49.435206456143696</v>
      </c>
      <c r="H53" s="46">
        <f>SUM(H37:H52)</f>
        <v>84013</v>
      </c>
      <c r="I53" s="48">
        <f>H53/$H$53*100</f>
        <v>100</v>
      </c>
    </row>
    <row r="54" spans="1:10" ht="15" customHeight="1" x14ac:dyDescent="0.25">
      <c r="A54" s="80" t="s">
        <v>593</v>
      </c>
      <c r="B54" s="81"/>
      <c r="C54" s="81"/>
      <c r="D54" s="81"/>
      <c r="E54" s="81"/>
      <c r="F54" s="81"/>
      <c r="G54" s="81"/>
      <c r="H54" s="81"/>
      <c r="I54" s="82"/>
    </row>
    <row r="55" spans="1:10" ht="15" customHeight="1" x14ac:dyDescent="0.25">
      <c r="A55" s="83" t="s">
        <v>573</v>
      </c>
      <c r="B55" s="83" t="s">
        <v>589</v>
      </c>
      <c r="C55" s="83"/>
      <c r="D55" s="84" t="s">
        <v>575</v>
      </c>
      <c r="E55" s="84"/>
      <c r="F55" s="84" t="s">
        <v>576</v>
      </c>
      <c r="G55" s="84"/>
      <c r="H55" s="85" t="s">
        <v>577</v>
      </c>
      <c r="I55" s="85"/>
    </row>
    <row r="56" spans="1:10" ht="15" customHeight="1" x14ac:dyDescent="0.25">
      <c r="A56" s="83"/>
      <c r="B56" s="39" t="s">
        <v>578</v>
      </c>
      <c r="C56" s="39" t="s">
        <v>579</v>
      </c>
      <c r="D56" s="40" t="s">
        <v>577</v>
      </c>
      <c r="E56" s="40" t="s">
        <v>580</v>
      </c>
      <c r="F56" s="40" t="s">
        <v>577</v>
      </c>
      <c r="G56" s="40" t="s">
        <v>580</v>
      </c>
      <c r="H56" s="41" t="s">
        <v>590</v>
      </c>
      <c r="I56" s="41" t="s">
        <v>580</v>
      </c>
    </row>
    <row r="57" spans="1:10" ht="15" customHeight="1" x14ac:dyDescent="0.25">
      <c r="A57" s="42">
        <v>40</v>
      </c>
      <c r="B57" s="42" t="str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43" t="str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7">
        <v>2578</v>
      </c>
      <c r="E57" s="33">
        <f t="array" ref="E57:E69">D57:D69/$H$57:$H$69*100</f>
        <v>50.908372827804108</v>
      </c>
      <c r="F57" s="27">
        <f t="array" ref="F57:F69">_xlfn._xlws.FILTER('AGR_JK_3304_KAB. BANJARNEGARA'!$E$3:$E$300,(LEN('AGR_JK_3304_KAB. BANJARNEGARA'!$B$3:$B$300)=13)*(LEFT('AGR_JK_3304_KAB. BANJARNEGARA'!$B$3:$B$300,8)=MID(A54,13,8)))</f>
        <v>2486</v>
      </c>
      <c r="G57" s="33">
        <f t="array" ref="G57:G69">F57:F69/$H$57:$H$69*100</f>
        <v>49.091627172195892</v>
      </c>
      <c r="H57" s="29">
        <f t="array" ref="H57:H69">_xlfn._xlws.FILTER('AGR_JK_3304_KAB. BANJARNEGARA'!$F$3:$F$300,(LEN('AGR_JK_3304_KAB. BANJARNEGARA'!$B$3:$B$300)=13)*(LEFT('AGR_JK_3304_KAB. BANJARNEGARA'!$B$3:$B$300,8)=MID(A54,13,8)))</f>
        <v>5064</v>
      </c>
      <c r="I57" s="34">
        <f t="array" ref="I57:I69">H57:H69/$H$57:$H$69*100</f>
        <v>100</v>
      </c>
    </row>
    <row r="58" spans="1:10" ht="15" customHeight="1" x14ac:dyDescent="0.25">
      <c r="A58" s="42">
        <v>41</v>
      </c>
      <c r="B58" s="42" t="str">
        <v>2002</v>
      </c>
      <c r="C58" s="43" t="str">
        <v>MERDEN</v>
      </c>
      <c r="D58" s="27">
        <v>6170</v>
      </c>
      <c r="E58" s="33">
        <v>51.063477613175536</v>
      </c>
      <c r="F58" s="27">
        <v>5913</v>
      </c>
      <c r="G58" s="33">
        <v>48.936522386824464</v>
      </c>
      <c r="H58" s="29">
        <v>12083</v>
      </c>
      <c r="I58" s="34">
        <v>100</v>
      </c>
    </row>
    <row r="59" spans="1:10" ht="15" customHeight="1" x14ac:dyDescent="0.25">
      <c r="A59" s="42">
        <v>42</v>
      </c>
      <c r="B59" s="42" t="str">
        <v>2003</v>
      </c>
      <c r="C59" s="43" t="str">
        <v>KARANGANYAR</v>
      </c>
      <c r="D59" s="27">
        <v>3740</v>
      </c>
      <c r="E59" s="33">
        <v>49.780380673499266</v>
      </c>
      <c r="F59" s="27">
        <v>3773</v>
      </c>
      <c r="G59" s="33">
        <v>50.219619326500734</v>
      </c>
      <c r="H59" s="29">
        <v>7513</v>
      </c>
      <c r="I59" s="34">
        <v>100</v>
      </c>
    </row>
    <row r="60" spans="1:10" ht="15" customHeight="1" x14ac:dyDescent="0.25">
      <c r="A60" s="42">
        <v>43</v>
      </c>
      <c r="B60" s="42" t="str">
        <v>2004</v>
      </c>
      <c r="C60" s="43" t="str">
        <v>KALIAJIR</v>
      </c>
      <c r="D60" s="27">
        <v>2994</v>
      </c>
      <c r="E60" s="33">
        <v>50.489038785834737</v>
      </c>
      <c r="F60" s="27">
        <v>2936</v>
      </c>
      <c r="G60" s="33">
        <v>49.510961214165263</v>
      </c>
      <c r="H60" s="29">
        <v>5930</v>
      </c>
      <c r="I60" s="34">
        <v>100</v>
      </c>
    </row>
    <row r="61" spans="1:10" ht="15" customHeight="1" x14ac:dyDescent="0.25">
      <c r="A61" s="42">
        <v>44</v>
      </c>
      <c r="B61" s="42" t="str">
        <v>2005</v>
      </c>
      <c r="C61" s="43" t="str">
        <v>PETIR</v>
      </c>
      <c r="D61" s="27">
        <v>4298</v>
      </c>
      <c r="E61" s="33">
        <v>50.600423828584887</v>
      </c>
      <c r="F61" s="27">
        <v>4196</v>
      </c>
      <c r="G61" s="33">
        <v>49.399576171415113</v>
      </c>
      <c r="H61" s="29">
        <v>8494</v>
      </c>
      <c r="I61" s="34">
        <v>100</v>
      </c>
    </row>
    <row r="62" spans="1:10" ht="15" customHeight="1" x14ac:dyDescent="0.25">
      <c r="A62" s="42">
        <v>45</v>
      </c>
      <c r="B62" s="42" t="str">
        <v>2006</v>
      </c>
      <c r="C62" s="43" t="str">
        <v>PUCUNGBEDUG</v>
      </c>
      <c r="D62" s="27">
        <v>3664</v>
      </c>
      <c r="E62" s="33">
        <v>51.180332448666007</v>
      </c>
      <c r="F62" s="27">
        <v>3495</v>
      </c>
      <c r="G62" s="33">
        <v>48.819667551333986</v>
      </c>
      <c r="H62" s="29">
        <v>7159</v>
      </c>
      <c r="I62" s="34">
        <v>100</v>
      </c>
    </row>
    <row r="63" spans="1:10" ht="15" customHeight="1" x14ac:dyDescent="0.25">
      <c r="A63" s="42">
        <v>46</v>
      </c>
      <c r="B63" s="42" t="str">
        <v>2007</v>
      </c>
      <c r="C63" s="43" t="str">
        <v>PARAKAN</v>
      </c>
      <c r="D63" s="27">
        <v>2802</v>
      </c>
      <c r="E63" s="33">
        <v>50</v>
      </c>
      <c r="F63" s="27">
        <v>2802</v>
      </c>
      <c r="G63" s="33">
        <v>50</v>
      </c>
      <c r="H63" s="29">
        <v>5604</v>
      </c>
      <c r="I63" s="34">
        <v>100</v>
      </c>
    </row>
    <row r="64" spans="1:10" ht="15" customHeight="1" x14ac:dyDescent="0.25">
      <c r="A64" s="42">
        <v>47</v>
      </c>
      <c r="B64" s="42" t="str">
        <v>2008</v>
      </c>
      <c r="C64" s="43" t="str">
        <v>MERTASARI</v>
      </c>
      <c r="D64" s="27">
        <v>2529</v>
      </c>
      <c r="E64" s="33">
        <v>49.911190053285971</v>
      </c>
      <c r="F64" s="27">
        <v>2538</v>
      </c>
      <c r="G64" s="33">
        <v>50.088809946714029</v>
      </c>
      <c r="H64" s="29">
        <v>5067</v>
      </c>
      <c r="I64" s="34">
        <v>100</v>
      </c>
    </row>
    <row r="65" spans="1:9" ht="15" customHeight="1" x14ac:dyDescent="0.25">
      <c r="A65" s="42">
        <v>48</v>
      </c>
      <c r="B65" s="42" t="str">
        <v>2009</v>
      </c>
      <c r="C65" s="43" t="str">
        <v>DANARAJA</v>
      </c>
      <c r="D65" s="27">
        <v>2772</v>
      </c>
      <c r="E65" s="33">
        <v>49.766606822262119</v>
      </c>
      <c r="F65" s="27">
        <v>2798</v>
      </c>
      <c r="G65" s="33">
        <v>50.233393177737881</v>
      </c>
      <c r="H65" s="29">
        <v>5570</v>
      </c>
      <c r="I65" s="34">
        <v>100</v>
      </c>
    </row>
    <row r="66" spans="1:9" ht="15" customHeight="1" x14ac:dyDescent="0.25">
      <c r="A66" s="42">
        <v>49</v>
      </c>
      <c r="B66" s="42" t="str">
        <v>2010</v>
      </c>
      <c r="C66" s="43" t="str">
        <v>PURWONEGORO</v>
      </c>
      <c r="D66" s="27">
        <v>4344</v>
      </c>
      <c r="E66" s="33">
        <v>49.600365380223792</v>
      </c>
      <c r="F66" s="27">
        <v>4414</v>
      </c>
      <c r="G66" s="33">
        <v>50.399634619776201</v>
      </c>
      <c r="H66" s="29">
        <v>8758</v>
      </c>
      <c r="I66" s="34">
        <v>100</v>
      </c>
    </row>
    <row r="67" spans="1:9" ht="15" customHeight="1" x14ac:dyDescent="0.25">
      <c r="A67" s="42">
        <v>50</v>
      </c>
      <c r="B67" s="42" t="str">
        <v>2011</v>
      </c>
      <c r="C67" s="43" t="str">
        <v>KALIPELUS</v>
      </c>
      <c r="D67" s="27">
        <v>2427</v>
      </c>
      <c r="E67" s="33">
        <v>50.933892969569783</v>
      </c>
      <c r="F67" s="27">
        <v>2338</v>
      </c>
      <c r="G67" s="33">
        <v>49.066107030430224</v>
      </c>
      <c r="H67" s="29">
        <v>4765</v>
      </c>
      <c r="I67" s="34">
        <v>100</v>
      </c>
    </row>
    <row r="68" spans="1:9" ht="15" customHeight="1" x14ac:dyDescent="0.25">
      <c r="A68" s="42">
        <v>51</v>
      </c>
      <c r="B68" s="42" t="str">
        <v>2012</v>
      </c>
      <c r="C68" s="43" t="str">
        <v>GUMIWANG</v>
      </c>
      <c r="D68" s="27">
        <v>4086</v>
      </c>
      <c r="E68" s="33">
        <v>50.357406950948977</v>
      </c>
      <c r="F68" s="27">
        <v>4028</v>
      </c>
      <c r="G68" s="33">
        <v>49.642593049051023</v>
      </c>
      <c r="H68" s="29">
        <v>8114</v>
      </c>
      <c r="I68" s="34">
        <v>100</v>
      </c>
    </row>
    <row r="69" spans="1:9" ht="15" customHeight="1" x14ac:dyDescent="0.25">
      <c r="A69" s="42">
        <v>52</v>
      </c>
      <c r="B69" s="42" t="str">
        <v>2013</v>
      </c>
      <c r="C69" s="43" t="str">
        <v>KUTAWULUH</v>
      </c>
      <c r="D69" s="27">
        <v>1615</v>
      </c>
      <c r="E69" s="33">
        <v>50.706436420722135</v>
      </c>
      <c r="F69" s="27">
        <v>1570</v>
      </c>
      <c r="G69" s="33">
        <v>49.293563579277865</v>
      </c>
      <c r="H69" s="29">
        <v>3185</v>
      </c>
      <c r="I69" s="34">
        <v>100</v>
      </c>
    </row>
    <row r="70" spans="1:9" ht="15" customHeight="1" x14ac:dyDescent="0.25">
      <c r="A70" s="78" t="s">
        <v>577</v>
      </c>
      <c r="B70" s="78"/>
      <c r="C70" s="78"/>
      <c r="D70" s="46">
        <f>SUM(D57:D69)</f>
        <v>44019</v>
      </c>
      <c r="E70" s="47">
        <f>D70/$H$70*100</f>
        <v>50.419215174214827</v>
      </c>
      <c r="F70" s="46">
        <f>SUM(F57:F69)</f>
        <v>43287</v>
      </c>
      <c r="G70" s="47">
        <f>F70/$H$70*100</f>
        <v>49.580784825785166</v>
      </c>
      <c r="H70" s="46">
        <f>SUM(H57:H69)</f>
        <v>87306</v>
      </c>
      <c r="I70" s="48">
        <f>H70/$H$70*100</f>
        <v>100</v>
      </c>
    </row>
    <row r="71" spans="1:9" ht="15" customHeight="1" x14ac:dyDescent="0.25">
      <c r="A71" s="80" t="s">
        <v>594</v>
      </c>
      <c r="B71" s="81"/>
      <c r="C71" s="81"/>
      <c r="D71" s="81"/>
      <c r="E71" s="81"/>
      <c r="F71" s="81"/>
      <c r="G71" s="81"/>
      <c r="H71" s="81"/>
      <c r="I71" s="82"/>
    </row>
    <row r="72" spans="1:9" ht="15" customHeight="1" x14ac:dyDescent="0.25">
      <c r="A72" s="83" t="s">
        <v>573</v>
      </c>
      <c r="B72" s="83" t="s">
        <v>589</v>
      </c>
      <c r="C72" s="83"/>
      <c r="D72" s="84" t="s">
        <v>575</v>
      </c>
      <c r="E72" s="84"/>
      <c r="F72" s="84" t="s">
        <v>576</v>
      </c>
      <c r="G72" s="84"/>
      <c r="H72" s="85" t="s">
        <v>577</v>
      </c>
      <c r="I72" s="85"/>
    </row>
    <row r="73" spans="1:9" ht="15" customHeight="1" x14ac:dyDescent="0.25">
      <c r="A73" s="83"/>
      <c r="B73" s="39" t="s">
        <v>578</v>
      </c>
      <c r="C73" s="39" t="s">
        <v>579</v>
      </c>
      <c r="D73" s="40" t="s">
        <v>577</v>
      </c>
      <c r="E73" s="40" t="s">
        <v>580</v>
      </c>
      <c r="F73" s="40" t="s">
        <v>577</v>
      </c>
      <c r="G73" s="40" t="s">
        <v>580</v>
      </c>
      <c r="H73" s="41" t="s">
        <v>590</v>
      </c>
      <c r="I73" s="41" t="s">
        <v>580</v>
      </c>
    </row>
    <row r="74" spans="1:9" ht="15" customHeight="1" x14ac:dyDescent="0.25">
      <c r="A74" s="42">
        <v>53</v>
      </c>
      <c r="B74" s="42" t="str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43" t="str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7">
        <v>2428</v>
      </c>
      <c r="E74" s="33">
        <f t="array" ref="E74:E91">D74:D91/$H$74:$H$91*100</f>
        <v>50.478170478170483</v>
      </c>
      <c r="F74" s="27">
        <f t="array" ref="F74:F91">_xlfn._xlws.FILTER('AGR_JK_3304_KAB. BANJARNEGARA'!$E$3:$E$300,(LEN('AGR_JK_3304_KAB. BANJARNEGARA'!$B$3:$B$300)=13)*(LEFT('AGR_JK_3304_KAB. BANJARNEGARA'!$B$3:$B$300,8)=MID(A71,13,8)))</f>
        <v>2382</v>
      </c>
      <c r="G74" s="33">
        <f t="array" ref="G74:G91">F74:F91/$H$74:$H$91*100</f>
        <v>49.521829521829524</v>
      </c>
      <c r="H74" s="29">
        <f t="array" ref="H74:H91">_xlfn._xlws.FILTER('AGR_JK_3304_KAB. BANJARNEGARA'!$F$3:$F$300,(LEN('AGR_JK_3304_KAB. BANJARNEGARA'!$B$3:$B$300)=13)*(LEFT('AGR_JK_3304_KAB. BANJARNEGARA'!$B$3:$B$300,8)=MID(A71,13,8)))</f>
        <v>4810</v>
      </c>
      <c r="I74" s="34">
        <f t="array" ref="I74:I91">H74:H91/$H$74:$H$91*100</f>
        <v>100</v>
      </c>
    </row>
    <row r="75" spans="1:9" ht="15" customHeight="1" x14ac:dyDescent="0.25">
      <c r="A75" s="42">
        <v>54</v>
      </c>
      <c r="B75" s="42" t="str">
        <v>2002</v>
      </c>
      <c r="C75" s="43" t="str">
        <v>KEBONDALEM</v>
      </c>
      <c r="D75" s="50">
        <v>2234</v>
      </c>
      <c r="E75" s="33">
        <v>51.074531321444908</v>
      </c>
      <c r="F75" s="50">
        <v>2140</v>
      </c>
      <c r="G75" s="33">
        <v>48.925468678555099</v>
      </c>
      <c r="H75" s="29">
        <v>4374</v>
      </c>
      <c r="I75" s="34">
        <v>100</v>
      </c>
    </row>
    <row r="76" spans="1:9" ht="15" customHeight="1" x14ac:dyDescent="0.25">
      <c r="A76" s="42">
        <v>55</v>
      </c>
      <c r="B76" s="42" t="str">
        <v>2003</v>
      </c>
      <c r="C76" s="43" t="str">
        <v>MAJALENGKA</v>
      </c>
      <c r="D76" s="50">
        <v>1958</v>
      </c>
      <c r="E76" s="33">
        <v>51.853813559322035</v>
      </c>
      <c r="F76" s="50">
        <v>1818</v>
      </c>
      <c r="G76" s="33">
        <v>48.146186440677965</v>
      </c>
      <c r="H76" s="29">
        <v>3776</v>
      </c>
      <c r="I76" s="34">
        <v>100</v>
      </c>
    </row>
    <row r="77" spans="1:9" ht="15" customHeight="1" x14ac:dyDescent="0.25">
      <c r="A77" s="42">
        <v>56</v>
      </c>
      <c r="B77" s="42" t="str">
        <v>2004</v>
      </c>
      <c r="C77" s="43" t="str">
        <v>WIRAMASTRA</v>
      </c>
      <c r="D77" s="50">
        <v>1773</v>
      </c>
      <c r="E77" s="33">
        <v>51.675896240163219</v>
      </c>
      <c r="F77" s="50">
        <v>1658</v>
      </c>
      <c r="G77" s="33">
        <v>48.324103759836781</v>
      </c>
      <c r="H77" s="29">
        <v>3431</v>
      </c>
      <c r="I77" s="34">
        <v>100</v>
      </c>
    </row>
    <row r="78" spans="1:9" ht="15" customHeight="1" x14ac:dyDescent="0.25">
      <c r="A78" s="42">
        <v>57</v>
      </c>
      <c r="B78" s="42" t="str">
        <v>2005</v>
      </c>
      <c r="C78" s="43" t="str">
        <v>KUTAYASA</v>
      </c>
      <c r="D78" s="51">
        <v>989</v>
      </c>
      <c r="E78" s="33">
        <v>51.349948078920036</v>
      </c>
      <c r="F78" s="51">
        <v>937</v>
      </c>
      <c r="G78" s="33">
        <v>48.650051921079957</v>
      </c>
      <c r="H78" s="29">
        <v>1926</v>
      </c>
      <c r="I78" s="34">
        <v>100</v>
      </c>
    </row>
    <row r="79" spans="1:9" ht="15" customHeight="1" x14ac:dyDescent="0.25">
      <c r="A79" s="42">
        <v>58</v>
      </c>
      <c r="B79" s="42" t="str">
        <v>2006</v>
      </c>
      <c r="C79" s="43" t="str">
        <v>WINONG</v>
      </c>
      <c r="D79" s="50">
        <v>1516</v>
      </c>
      <c r="E79" s="33">
        <v>49.41329856584094</v>
      </c>
      <c r="F79" s="50">
        <v>1552</v>
      </c>
      <c r="G79" s="33">
        <v>50.586701434159068</v>
      </c>
      <c r="H79" s="29">
        <v>3068</v>
      </c>
      <c r="I79" s="34">
        <v>100</v>
      </c>
    </row>
    <row r="80" spans="1:9" ht="15" customHeight="1" x14ac:dyDescent="0.25">
      <c r="A80" s="42">
        <v>59</v>
      </c>
      <c r="B80" s="42" t="str">
        <v>2007</v>
      </c>
      <c r="C80" s="43" t="str">
        <v>DEPOK</v>
      </c>
      <c r="D80" s="51">
        <v>540</v>
      </c>
      <c r="E80" s="33">
        <v>51.282051282051277</v>
      </c>
      <c r="F80" s="51">
        <v>513</v>
      </c>
      <c r="G80" s="33">
        <v>48.717948717948715</v>
      </c>
      <c r="H80" s="29">
        <v>1053</v>
      </c>
      <c r="I80" s="34">
        <v>100</v>
      </c>
    </row>
    <row r="81" spans="1:9" ht="15" customHeight="1" x14ac:dyDescent="0.25">
      <c r="A81" s="42">
        <v>60</v>
      </c>
      <c r="B81" s="42" t="str">
        <v>2008</v>
      </c>
      <c r="C81" s="43" t="str">
        <v>WATUURIP</v>
      </c>
      <c r="D81" s="51">
        <v>643</v>
      </c>
      <c r="E81" s="33">
        <v>49.844961240310077</v>
      </c>
      <c r="F81" s="51">
        <v>647</v>
      </c>
      <c r="G81" s="33">
        <v>50.155038759689916</v>
      </c>
      <c r="H81" s="29">
        <v>1290</v>
      </c>
      <c r="I81" s="34">
        <v>100</v>
      </c>
    </row>
    <row r="82" spans="1:9" ht="15" customHeight="1" x14ac:dyDescent="0.25">
      <c r="A82" s="42">
        <v>61</v>
      </c>
      <c r="B82" s="42" t="str">
        <v>2009</v>
      </c>
      <c r="C82" s="43" t="str">
        <v>MASARAN</v>
      </c>
      <c r="D82" s="50">
        <v>1592</v>
      </c>
      <c r="E82" s="33">
        <v>50.523643287845132</v>
      </c>
      <c r="F82" s="50">
        <v>1559</v>
      </c>
      <c r="G82" s="33">
        <v>49.476356712154875</v>
      </c>
      <c r="H82" s="29">
        <v>3151</v>
      </c>
      <c r="I82" s="34">
        <v>100</v>
      </c>
    </row>
    <row r="83" spans="1:9" ht="15" customHeight="1" x14ac:dyDescent="0.25">
      <c r="A83" s="42">
        <v>62</v>
      </c>
      <c r="B83" s="42" t="str">
        <v>2010</v>
      </c>
      <c r="C83" s="43" t="str">
        <v>SERANG</v>
      </c>
      <c r="D83" s="51">
        <v>678</v>
      </c>
      <c r="E83" s="33">
        <v>51.054216867469883</v>
      </c>
      <c r="F83" s="51">
        <v>650</v>
      </c>
      <c r="G83" s="33">
        <v>48.945783132530117</v>
      </c>
      <c r="H83" s="29">
        <v>1328</v>
      </c>
      <c r="I83" s="34">
        <v>100</v>
      </c>
    </row>
    <row r="84" spans="1:9" ht="15" customHeight="1" x14ac:dyDescent="0.25">
      <c r="A84" s="42">
        <v>63</v>
      </c>
      <c r="B84" s="42" t="str">
        <v>2011</v>
      </c>
      <c r="C84" s="43" t="str">
        <v>MANTRIANOM</v>
      </c>
      <c r="D84" s="50">
        <v>2747</v>
      </c>
      <c r="E84" s="33">
        <v>50.063787133223983</v>
      </c>
      <c r="F84" s="50">
        <v>2740</v>
      </c>
      <c r="G84" s="33">
        <v>49.936212866776017</v>
      </c>
      <c r="H84" s="29">
        <v>5487</v>
      </c>
      <c r="I84" s="34">
        <v>100</v>
      </c>
    </row>
    <row r="85" spans="1:9" ht="15" customHeight="1" x14ac:dyDescent="0.25">
      <c r="A85" s="42">
        <v>64</v>
      </c>
      <c r="B85" s="42" t="str">
        <v>2012</v>
      </c>
      <c r="C85" s="43" t="str">
        <v>BINORONG</v>
      </c>
      <c r="D85" s="50">
        <v>2680</v>
      </c>
      <c r="E85" s="33">
        <v>50.159086655437022</v>
      </c>
      <c r="F85" s="50">
        <v>2663</v>
      </c>
      <c r="G85" s="33">
        <v>49.840913344562985</v>
      </c>
      <c r="H85" s="29">
        <v>5343</v>
      </c>
      <c r="I85" s="34">
        <v>100</v>
      </c>
    </row>
    <row r="86" spans="1:9" ht="15" customHeight="1" x14ac:dyDescent="0.25">
      <c r="A86" s="42">
        <v>65</v>
      </c>
      <c r="B86" s="42" t="str">
        <v>2013</v>
      </c>
      <c r="C86" s="43" t="str">
        <v>JOHO</v>
      </c>
      <c r="D86" s="50">
        <v>1306</v>
      </c>
      <c r="E86" s="33">
        <v>50.876509544215033</v>
      </c>
      <c r="F86" s="50">
        <v>1261</v>
      </c>
      <c r="G86" s="33">
        <v>49.12349045578496</v>
      </c>
      <c r="H86" s="29">
        <v>2567</v>
      </c>
      <c r="I86" s="34">
        <v>100</v>
      </c>
    </row>
    <row r="87" spans="1:9" ht="15" customHeight="1" x14ac:dyDescent="0.25">
      <c r="A87" s="42">
        <v>66</v>
      </c>
      <c r="B87" s="42" t="str">
        <v>2014</v>
      </c>
      <c r="C87" s="43" t="str">
        <v>BAWANG</v>
      </c>
      <c r="D87" s="50">
        <v>2165</v>
      </c>
      <c r="E87" s="33">
        <v>49.87330108269984</v>
      </c>
      <c r="F87" s="50">
        <v>2176</v>
      </c>
      <c r="G87" s="33">
        <v>50.12669891730016</v>
      </c>
      <c r="H87" s="29">
        <v>4341</v>
      </c>
      <c r="I87" s="34">
        <v>100</v>
      </c>
    </row>
    <row r="88" spans="1:9" ht="15" customHeight="1" x14ac:dyDescent="0.25">
      <c r="A88" s="42">
        <v>67</v>
      </c>
      <c r="B88" s="42" t="str">
        <v>2015</v>
      </c>
      <c r="C88" s="43" t="str">
        <v>BANDINGAN</v>
      </c>
      <c r="D88" s="51">
        <v>847</v>
      </c>
      <c r="E88" s="33">
        <v>49.44541739638062</v>
      </c>
      <c r="F88" s="51">
        <v>866</v>
      </c>
      <c r="G88" s="33">
        <v>50.55458260361938</v>
      </c>
      <c r="H88" s="29">
        <v>1713</v>
      </c>
      <c r="I88" s="34">
        <v>100</v>
      </c>
    </row>
    <row r="89" spans="1:9" ht="15" customHeight="1" x14ac:dyDescent="0.25">
      <c r="A89" s="42">
        <v>68</v>
      </c>
      <c r="B89" s="42" t="str">
        <v>2016</v>
      </c>
      <c r="C89" s="43" t="str">
        <v>BLAMBANGAN</v>
      </c>
      <c r="D89" s="50">
        <v>3123</v>
      </c>
      <c r="E89" s="33">
        <v>49.952015355086374</v>
      </c>
      <c r="F89" s="50">
        <v>3129</v>
      </c>
      <c r="G89" s="33">
        <v>50.047984644913626</v>
      </c>
      <c r="H89" s="29">
        <v>6252</v>
      </c>
      <c r="I89" s="34">
        <v>100</v>
      </c>
    </row>
    <row r="90" spans="1:9" ht="15" customHeight="1" x14ac:dyDescent="0.25">
      <c r="A90" s="42">
        <v>69</v>
      </c>
      <c r="B90" s="42" t="str">
        <v>2017</v>
      </c>
      <c r="C90" s="43" t="str">
        <v>GEMURUH</v>
      </c>
      <c r="D90" s="50">
        <v>3251</v>
      </c>
      <c r="E90" s="33">
        <v>50.884332446392236</v>
      </c>
      <c r="F90" s="50">
        <v>3138</v>
      </c>
      <c r="G90" s="33">
        <v>49.115667553607764</v>
      </c>
      <c r="H90" s="29">
        <v>6389</v>
      </c>
      <c r="I90" s="34">
        <v>100</v>
      </c>
    </row>
    <row r="91" spans="1:9" ht="15" customHeight="1" x14ac:dyDescent="0.25">
      <c r="A91" s="42">
        <v>70</v>
      </c>
      <c r="B91" s="42" t="str">
        <v>2018</v>
      </c>
      <c r="C91" s="43" t="str">
        <v>PUCANG</v>
      </c>
      <c r="D91" s="50">
        <v>3440</v>
      </c>
      <c r="E91" s="33">
        <v>50.307107341327871</v>
      </c>
      <c r="F91" s="50">
        <v>3398</v>
      </c>
      <c r="G91" s="33">
        <v>49.692892658672129</v>
      </c>
      <c r="H91" s="29">
        <v>6838</v>
      </c>
      <c r="I91" s="34">
        <v>100</v>
      </c>
    </row>
    <row r="92" spans="1:9" ht="15" customHeight="1" x14ac:dyDescent="0.25">
      <c r="A92" s="78" t="s">
        <v>577</v>
      </c>
      <c r="B92" s="78"/>
      <c r="C92" s="78"/>
      <c r="D92" s="46">
        <f>SUM(D74:D91)</f>
        <v>33910</v>
      </c>
      <c r="E92" s="47">
        <f>D92/$H$92*100</f>
        <v>50.508661393866269</v>
      </c>
      <c r="F92" s="46">
        <f>SUM(F74:F91)</f>
        <v>33227</v>
      </c>
      <c r="G92" s="47">
        <f>F92/$H$92*100</f>
        <v>49.491338606133731</v>
      </c>
      <c r="H92" s="46">
        <f>SUM(H74:H91)</f>
        <v>67137</v>
      </c>
      <c r="I92" s="48">
        <f>H92/$H$92*100</f>
        <v>100</v>
      </c>
    </row>
    <row r="93" spans="1:9" ht="15" customHeight="1" x14ac:dyDescent="0.25">
      <c r="A93" s="80" t="s">
        <v>595</v>
      </c>
      <c r="B93" s="81"/>
      <c r="C93" s="81"/>
      <c r="D93" s="81"/>
      <c r="E93" s="81"/>
      <c r="F93" s="81"/>
      <c r="G93" s="81"/>
      <c r="H93" s="81"/>
      <c r="I93" s="82"/>
    </row>
    <row r="94" spans="1:9" ht="15" customHeight="1" x14ac:dyDescent="0.25">
      <c r="A94" s="83" t="s">
        <v>573</v>
      </c>
      <c r="B94" s="83" t="s">
        <v>589</v>
      </c>
      <c r="C94" s="83"/>
      <c r="D94" s="84" t="s">
        <v>575</v>
      </c>
      <c r="E94" s="84"/>
      <c r="F94" s="84" t="s">
        <v>576</v>
      </c>
      <c r="G94" s="84"/>
      <c r="H94" s="85" t="s">
        <v>577</v>
      </c>
      <c r="I94" s="85"/>
    </row>
    <row r="95" spans="1:9" ht="15" customHeight="1" x14ac:dyDescent="0.25">
      <c r="A95" s="83"/>
      <c r="B95" s="39" t="s">
        <v>578</v>
      </c>
      <c r="C95" s="39" t="s">
        <v>579</v>
      </c>
      <c r="D95" s="40" t="s">
        <v>577</v>
      </c>
      <c r="E95" s="40" t="s">
        <v>580</v>
      </c>
      <c r="F95" s="40" t="s">
        <v>577</v>
      </c>
      <c r="G95" s="40" t="s">
        <v>580</v>
      </c>
      <c r="H95" s="41" t="s">
        <v>590</v>
      </c>
      <c r="I95" s="41" t="s">
        <v>580</v>
      </c>
    </row>
    <row r="96" spans="1:9" ht="15" customHeight="1" x14ac:dyDescent="0.25">
      <c r="A96" s="42">
        <v>71</v>
      </c>
      <c r="B96" s="42" t="str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43" t="str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7">
        <v>2958</v>
      </c>
      <c r="E96" s="33">
        <f t="array" ref="E96:E108">D96:D108/$H$96:$H$108*100</f>
        <v>50.982419855222339</v>
      </c>
      <c r="F96" s="27">
        <f t="array" ref="F96:F108">_xlfn._xlws.FILTER('AGR_JK_3304_KAB. BANJARNEGARA'!$E$3:$E$300,(LEN('AGR_JK_3304_KAB. BANJARNEGARA'!$B$3:$B$300)=13)*(LEFT('AGR_JK_3304_KAB. BANJARNEGARA'!$B$3:$B$300,8)=MID(A93,13,8)))</f>
        <v>2844</v>
      </c>
      <c r="G96" s="33">
        <f t="array" ref="G96:G108">F96:F108/$H$96:$H$108*100</f>
        <v>49.017580144777661</v>
      </c>
      <c r="H96" s="29">
        <f t="array" ref="H96:H108">_xlfn._xlws.FILTER('AGR_JK_3304_KAB. BANJARNEGARA'!$F$3:$F$300,(LEN('AGR_JK_3304_KAB. BANJARNEGARA'!$B$3:$B$300)=13)*(LEFT('AGR_JK_3304_KAB. BANJARNEGARA'!$B$3:$B$300,8)=MID(A93,13,8)))</f>
        <v>5802</v>
      </c>
      <c r="I96" s="34">
        <f t="array" ref="I96:I108">H96:H108/$H$96:$H$108*100</f>
        <v>100</v>
      </c>
    </row>
    <row r="97" spans="1:9" ht="15" customHeight="1" x14ac:dyDescent="0.25">
      <c r="A97" s="42">
        <v>72</v>
      </c>
      <c r="B97" s="42" t="str">
        <v>1006</v>
      </c>
      <c r="C97" s="43" t="str">
        <v>KARANGTENGAH</v>
      </c>
      <c r="D97" s="50">
        <v>2125</v>
      </c>
      <c r="E97" s="33">
        <v>49.58002799813346</v>
      </c>
      <c r="F97" s="50">
        <v>2161</v>
      </c>
      <c r="G97" s="33">
        <v>50.41997200186654</v>
      </c>
      <c r="H97" s="29">
        <v>4286</v>
      </c>
      <c r="I97" s="34">
        <v>100</v>
      </c>
    </row>
    <row r="98" spans="1:9" ht="15" customHeight="1" x14ac:dyDescent="0.25">
      <c r="A98" s="42">
        <v>73</v>
      </c>
      <c r="B98" s="42" t="str">
        <v>1007</v>
      </c>
      <c r="C98" s="43" t="str">
        <v>WANGON</v>
      </c>
      <c r="D98" s="50">
        <v>1585</v>
      </c>
      <c r="E98" s="33">
        <v>51.046698872785832</v>
      </c>
      <c r="F98" s="50">
        <v>1520</v>
      </c>
      <c r="G98" s="33">
        <v>48.953301127214175</v>
      </c>
      <c r="H98" s="29">
        <v>3105</v>
      </c>
      <c r="I98" s="34">
        <v>100</v>
      </c>
    </row>
    <row r="99" spans="1:9" ht="15" customHeight="1" x14ac:dyDescent="0.25">
      <c r="A99" s="42">
        <v>74</v>
      </c>
      <c r="B99" s="42" t="str">
        <v>1008</v>
      </c>
      <c r="C99" s="43" t="str">
        <v>SEMAMPIR</v>
      </c>
      <c r="D99" s="50">
        <v>2077</v>
      </c>
      <c r="E99" s="33">
        <v>50.363724539282252</v>
      </c>
      <c r="F99" s="50">
        <v>2047</v>
      </c>
      <c r="G99" s="33">
        <v>49.636275460717748</v>
      </c>
      <c r="H99" s="29">
        <v>4124</v>
      </c>
      <c r="I99" s="34">
        <v>100</v>
      </c>
    </row>
    <row r="100" spans="1:9" ht="15" customHeight="1" x14ac:dyDescent="0.25">
      <c r="A100" s="42">
        <v>75</v>
      </c>
      <c r="B100" s="42" t="str">
        <v>1009</v>
      </c>
      <c r="C100" s="43" t="str">
        <v>SOKANANDI</v>
      </c>
      <c r="D100" s="51">
        <v>3268</v>
      </c>
      <c r="E100" s="33">
        <v>49.931245225362872</v>
      </c>
      <c r="F100" s="51">
        <v>3277</v>
      </c>
      <c r="G100" s="33">
        <v>50.068754774637128</v>
      </c>
      <c r="H100" s="29">
        <v>6545</v>
      </c>
      <c r="I100" s="34">
        <v>100</v>
      </c>
    </row>
    <row r="101" spans="1:9" ht="15" customHeight="1" x14ac:dyDescent="0.25">
      <c r="A101" s="42">
        <v>76</v>
      </c>
      <c r="B101" s="42" t="str">
        <v>1010</v>
      </c>
      <c r="C101" s="43" t="str">
        <v>PARAKANCANGGAH</v>
      </c>
      <c r="D101" s="50">
        <v>4579</v>
      </c>
      <c r="E101" s="33">
        <v>49.967263203841114</v>
      </c>
      <c r="F101" s="50">
        <v>4585</v>
      </c>
      <c r="G101" s="33">
        <v>50.032736796158886</v>
      </c>
      <c r="H101" s="29">
        <v>9164</v>
      </c>
      <c r="I101" s="34">
        <v>100</v>
      </c>
    </row>
    <row r="102" spans="1:9" ht="15" customHeight="1" x14ac:dyDescent="0.25">
      <c r="A102" s="42">
        <v>77</v>
      </c>
      <c r="B102" s="42" t="str">
        <v>1011</v>
      </c>
      <c r="C102" s="43" t="str">
        <v>SEMARANG</v>
      </c>
      <c r="D102" s="51">
        <v>2576</v>
      </c>
      <c r="E102" s="33">
        <v>49.88381099922541</v>
      </c>
      <c r="F102" s="51">
        <v>2588</v>
      </c>
      <c r="G102" s="33">
        <v>50.11618900077459</v>
      </c>
      <c r="H102" s="29">
        <v>5164</v>
      </c>
      <c r="I102" s="34">
        <v>100</v>
      </c>
    </row>
    <row r="103" spans="1:9" ht="15" customHeight="1" x14ac:dyDescent="0.25">
      <c r="A103" s="42">
        <v>78</v>
      </c>
      <c r="B103" s="42" t="str">
        <v>1012</v>
      </c>
      <c r="C103" s="43" t="str">
        <v>KRANDEGAN</v>
      </c>
      <c r="D103" s="51">
        <v>3290</v>
      </c>
      <c r="E103" s="33">
        <v>50.66214967662458</v>
      </c>
      <c r="F103" s="51">
        <v>3204</v>
      </c>
      <c r="G103" s="33">
        <v>49.337850323375427</v>
      </c>
      <c r="H103" s="29">
        <v>6494</v>
      </c>
      <c r="I103" s="34">
        <v>100</v>
      </c>
    </row>
    <row r="104" spans="1:9" ht="15" customHeight="1" x14ac:dyDescent="0.25">
      <c r="A104" s="42">
        <v>79</v>
      </c>
      <c r="B104" s="42" t="str">
        <v>1013</v>
      </c>
      <c r="C104" s="52" t="str">
        <v>KUTABANJARNEGARA</v>
      </c>
      <c r="D104" s="50">
        <v>5628</v>
      </c>
      <c r="E104" s="33">
        <v>49.277646440767008</v>
      </c>
      <c r="F104" s="50">
        <v>5793</v>
      </c>
      <c r="G104" s="33">
        <v>50.722353559232992</v>
      </c>
      <c r="H104" s="29">
        <v>11421</v>
      </c>
      <c r="I104" s="34">
        <v>100</v>
      </c>
    </row>
    <row r="105" spans="1:9" ht="15" customHeight="1" x14ac:dyDescent="0.25">
      <c r="A105" s="42">
        <v>80</v>
      </c>
      <c r="B105" s="42" t="str">
        <v>2002</v>
      </c>
      <c r="C105" s="43" t="str">
        <v>AMPELSARI</v>
      </c>
      <c r="D105" s="51">
        <v>2729</v>
      </c>
      <c r="E105" s="33">
        <v>51.057062675397567</v>
      </c>
      <c r="F105" s="51">
        <v>2616</v>
      </c>
      <c r="G105" s="33">
        <v>48.942937324602433</v>
      </c>
      <c r="H105" s="29">
        <v>5345</v>
      </c>
      <c r="I105" s="34">
        <v>100</v>
      </c>
    </row>
    <row r="106" spans="1:9" ht="15" customHeight="1" x14ac:dyDescent="0.25">
      <c r="A106" s="42">
        <v>81</v>
      </c>
      <c r="B106" s="42" t="str">
        <v>2003</v>
      </c>
      <c r="C106" s="43" t="str">
        <v>TLAGAWERA</v>
      </c>
      <c r="D106" s="50">
        <v>1744</v>
      </c>
      <c r="E106" s="33">
        <v>52.168710738857314</v>
      </c>
      <c r="F106" s="50">
        <v>1599</v>
      </c>
      <c r="G106" s="33">
        <v>47.831289261142686</v>
      </c>
      <c r="H106" s="29">
        <v>3343</v>
      </c>
      <c r="I106" s="34">
        <v>100</v>
      </c>
    </row>
    <row r="107" spans="1:9" ht="15" customHeight="1" x14ac:dyDescent="0.25">
      <c r="A107" s="42">
        <v>82</v>
      </c>
      <c r="B107" s="42" t="str">
        <v>2004</v>
      </c>
      <c r="C107" s="43" t="str">
        <v>CENDANA</v>
      </c>
      <c r="D107" s="50">
        <v>1921</v>
      </c>
      <c r="E107" s="33">
        <v>51.240330754867969</v>
      </c>
      <c r="F107" s="50">
        <v>1828</v>
      </c>
      <c r="G107" s="33">
        <v>48.759669245132038</v>
      </c>
      <c r="H107" s="29">
        <v>3749</v>
      </c>
      <c r="I107" s="34">
        <v>100</v>
      </c>
    </row>
    <row r="108" spans="1:9" ht="15" customHeight="1" x14ac:dyDescent="0.25">
      <c r="A108" s="42">
        <v>83</v>
      </c>
      <c r="B108" s="42" t="str">
        <v>2005</v>
      </c>
      <c r="C108" s="43" t="str">
        <v>SOKAYASA</v>
      </c>
      <c r="D108" s="50">
        <v>1596</v>
      </c>
      <c r="E108" s="33">
        <v>51.071999999999996</v>
      </c>
      <c r="F108" s="50">
        <v>1529</v>
      </c>
      <c r="G108" s="33">
        <v>48.927999999999997</v>
      </c>
      <c r="H108" s="29">
        <v>3125</v>
      </c>
      <c r="I108" s="34">
        <v>100</v>
      </c>
    </row>
    <row r="109" spans="1:9" ht="15" customHeight="1" x14ac:dyDescent="0.25">
      <c r="A109" s="78" t="s">
        <v>577</v>
      </c>
      <c r="B109" s="78"/>
      <c r="C109" s="78"/>
      <c r="D109" s="46">
        <f>SUM(D96:D108)</f>
        <v>36076</v>
      </c>
      <c r="E109" s="47">
        <f>D109/$H$109*100</f>
        <v>50.33837051920689</v>
      </c>
      <c r="F109" s="46">
        <f>SUM(F96:F108)</f>
        <v>35591</v>
      </c>
      <c r="G109" s="47">
        <f>F109/$H$109*100</f>
        <v>49.66162948079311</v>
      </c>
      <c r="H109" s="46">
        <f>SUM(H96:H108)</f>
        <v>71667</v>
      </c>
      <c r="I109" s="48">
        <f>H109/$H$109*100</f>
        <v>100</v>
      </c>
    </row>
    <row r="110" spans="1:9" ht="15" customHeight="1" x14ac:dyDescent="0.25">
      <c r="A110" s="80" t="s">
        <v>596</v>
      </c>
      <c r="B110" s="81"/>
      <c r="C110" s="81"/>
      <c r="D110" s="81"/>
      <c r="E110" s="81"/>
      <c r="F110" s="81"/>
      <c r="G110" s="81"/>
      <c r="H110" s="81"/>
      <c r="I110" s="82"/>
    </row>
    <row r="111" spans="1:9" ht="15" customHeight="1" x14ac:dyDescent="0.25">
      <c r="A111" s="83" t="s">
        <v>573</v>
      </c>
      <c r="B111" s="83" t="s">
        <v>589</v>
      </c>
      <c r="C111" s="83"/>
      <c r="D111" s="84" t="s">
        <v>575</v>
      </c>
      <c r="E111" s="84"/>
      <c r="F111" s="84" t="s">
        <v>576</v>
      </c>
      <c r="G111" s="84"/>
      <c r="H111" s="85" t="s">
        <v>577</v>
      </c>
      <c r="I111" s="85"/>
    </row>
    <row r="112" spans="1:9" ht="15" customHeight="1" x14ac:dyDescent="0.25">
      <c r="A112" s="83"/>
      <c r="B112" s="39" t="s">
        <v>578</v>
      </c>
      <c r="C112" s="39" t="s">
        <v>579</v>
      </c>
      <c r="D112" s="40" t="s">
        <v>577</v>
      </c>
      <c r="E112" s="40" t="s">
        <v>580</v>
      </c>
      <c r="F112" s="40" t="s">
        <v>577</v>
      </c>
      <c r="G112" s="40" t="s">
        <v>580</v>
      </c>
      <c r="H112" s="41" t="s">
        <v>590</v>
      </c>
      <c r="I112" s="41" t="s">
        <v>580</v>
      </c>
    </row>
    <row r="113" spans="1:9" ht="15" customHeight="1" x14ac:dyDescent="0.25">
      <c r="A113" s="42">
        <v>84</v>
      </c>
      <c r="B113" s="42" t="str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43" t="str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7">
        <v>1033</v>
      </c>
      <c r="E113" s="33">
        <f t="array" ref="E113:E127">D113:D127/$H$113:$H$127*100</f>
        <v>50.513447432762838</v>
      </c>
      <c r="F113" s="27">
        <f t="array" ref="F113:F127">_xlfn._xlws.FILTER('AGR_JK_3304_KAB. BANJARNEGARA'!$E$3:$E$300,(LEN('AGR_JK_3304_KAB. BANJARNEGARA'!$B$3:$B$300)=13)*(LEFT('AGR_JK_3304_KAB. BANJARNEGARA'!$B$3:$B$300,8)=MID(A110,13,8)))</f>
        <v>1012</v>
      </c>
      <c r="G113" s="33">
        <f t="array" ref="G113:G127">F113:F127/$H$113:$H$127*100</f>
        <v>49.486552567237162</v>
      </c>
      <c r="H113" s="29">
        <f t="array" ref="H113:H127">_xlfn._xlws.FILTER('AGR_JK_3304_KAB. BANJARNEGARA'!$F$3:$F$300,(LEN('AGR_JK_3304_KAB. BANJARNEGARA'!$B$3:$B$300)=13)*(LEFT('AGR_JK_3304_KAB. BANJARNEGARA'!$B$3:$B$300,8)=MID(A110,13,8)))</f>
        <v>2045</v>
      </c>
      <c r="I113" s="34">
        <f t="array" ref="I113:I127">H113:H127/$H$113:$H$127*100</f>
        <v>100</v>
      </c>
    </row>
    <row r="114" spans="1:9" ht="15" customHeight="1" x14ac:dyDescent="0.25">
      <c r="A114" s="42">
        <v>85</v>
      </c>
      <c r="B114" s="42" t="str">
        <v>2001</v>
      </c>
      <c r="C114" s="43" t="str">
        <v>PRINGAMBA</v>
      </c>
      <c r="D114" s="50">
        <v>976</v>
      </c>
      <c r="E114" s="33">
        <v>50.102669404517449</v>
      </c>
      <c r="F114" s="50">
        <v>972</v>
      </c>
      <c r="G114" s="33">
        <v>49.897330595482551</v>
      </c>
      <c r="H114" s="29">
        <v>1948</v>
      </c>
      <c r="I114" s="34">
        <v>100</v>
      </c>
    </row>
    <row r="115" spans="1:9" ht="15" customHeight="1" x14ac:dyDescent="0.25">
      <c r="A115" s="42">
        <v>86</v>
      </c>
      <c r="B115" s="42" t="str">
        <v>2002</v>
      </c>
      <c r="C115" s="43" t="str">
        <v>SAWAL</v>
      </c>
      <c r="D115" s="50">
        <v>1456</v>
      </c>
      <c r="E115" s="33">
        <v>51.925820256776035</v>
      </c>
      <c r="F115" s="50">
        <v>1348</v>
      </c>
      <c r="G115" s="33">
        <v>48.074179743223965</v>
      </c>
      <c r="H115" s="29">
        <v>2804</v>
      </c>
      <c r="I115" s="34">
        <v>100</v>
      </c>
    </row>
    <row r="116" spans="1:9" ht="15" customHeight="1" x14ac:dyDescent="0.25">
      <c r="A116" s="42">
        <v>87</v>
      </c>
      <c r="B116" s="42" t="str">
        <v>2003</v>
      </c>
      <c r="C116" s="43" t="str">
        <v>PANAWAREN</v>
      </c>
      <c r="D116" s="50">
        <v>1912</v>
      </c>
      <c r="E116" s="33">
        <v>51.453175457481159</v>
      </c>
      <c r="F116" s="50">
        <v>1804</v>
      </c>
      <c r="G116" s="33">
        <v>48.546824542518834</v>
      </c>
      <c r="H116" s="29">
        <v>3716</v>
      </c>
      <c r="I116" s="34">
        <v>100</v>
      </c>
    </row>
    <row r="117" spans="1:9" ht="15" customHeight="1" x14ac:dyDescent="0.25">
      <c r="A117" s="42">
        <v>88</v>
      </c>
      <c r="B117" s="42" t="str">
        <v>2004</v>
      </c>
      <c r="C117" s="43" t="str">
        <v>TUNGGARA</v>
      </c>
      <c r="D117" s="51">
        <v>946</v>
      </c>
      <c r="E117" s="33">
        <v>49.399477806788511</v>
      </c>
      <c r="F117" s="51">
        <v>969</v>
      </c>
      <c r="G117" s="33">
        <v>50.600522193211482</v>
      </c>
      <c r="H117" s="29">
        <v>1915</v>
      </c>
      <c r="I117" s="34">
        <v>100</v>
      </c>
    </row>
    <row r="118" spans="1:9" ht="15" customHeight="1" x14ac:dyDescent="0.25">
      <c r="A118" s="42">
        <v>89</v>
      </c>
      <c r="B118" s="42" t="str">
        <v>2005</v>
      </c>
      <c r="C118" s="43" t="str">
        <v>RANDEGAN</v>
      </c>
      <c r="D118" s="50">
        <v>665</v>
      </c>
      <c r="E118" s="33">
        <v>51.750972762645922</v>
      </c>
      <c r="F118" s="50">
        <v>620</v>
      </c>
      <c r="G118" s="33">
        <v>48.249027237354085</v>
      </c>
      <c r="H118" s="29">
        <v>1285</v>
      </c>
      <c r="I118" s="34">
        <v>100</v>
      </c>
    </row>
    <row r="119" spans="1:9" ht="15" customHeight="1" x14ac:dyDescent="0.25">
      <c r="A119" s="42">
        <v>90</v>
      </c>
      <c r="B119" s="42" t="str">
        <v>2006</v>
      </c>
      <c r="C119" s="43" t="str">
        <v>BOJANEGARA</v>
      </c>
      <c r="D119" s="51">
        <v>1567</v>
      </c>
      <c r="E119" s="33">
        <v>50.127959053103012</v>
      </c>
      <c r="F119" s="51">
        <v>1559</v>
      </c>
      <c r="G119" s="33">
        <v>49.872040946896995</v>
      </c>
      <c r="H119" s="29">
        <v>3126</v>
      </c>
      <c r="I119" s="34">
        <v>100</v>
      </c>
    </row>
    <row r="120" spans="1:9" ht="15" customHeight="1" x14ac:dyDescent="0.25">
      <c r="A120" s="42">
        <v>91</v>
      </c>
      <c r="B120" s="42" t="str">
        <v>2007</v>
      </c>
      <c r="C120" s="43" t="str">
        <v>BANDINGAN</v>
      </c>
      <c r="D120" s="51">
        <v>1054</v>
      </c>
      <c r="E120" s="33">
        <v>51.289537712895374</v>
      </c>
      <c r="F120" s="51">
        <v>1001</v>
      </c>
      <c r="G120" s="33">
        <v>48.710462287104619</v>
      </c>
      <c r="H120" s="29">
        <v>2055</v>
      </c>
      <c r="I120" s="34">
        <v>100</v>
      </c>
    </row>
    <row r="121" spans="1:9" ht="15" customHeight="1" x14ac:dyDescent="0.25">
      <c r="A121" s="42">
        <v>92</v>
      </c>
      <c r="B121" s="42" t="str">
        <v>2008</v>
      </c>
      <c r="C121" s="43" t="str">
        <v>PRIGI</v>
      </c>
      <c r="D121" s="50">
        <v>2346</v>
      </c>
      <c r="E121" s="33">
        <v>49.893662271373884</v>
      </c>
      <c r="F121" s="50">
        <v>2356</v>
      </c>
      <c r="G121" s="33">
        <v>50.106337728626116</v>
      </c>
      <c r="H121" s="29">
        <v>4702</v>
      </c>
      <c r="I121" s="34">
        <v>100</v>
      </c>
    </row>
    <row r="122" spans="1:9" ht="15" customHeight="1" x14ac:dyDescent="0.25">
      <c r="A122" s="42">
        <v>93</v>
      </c>
      <c r="B122" s="42" t="str">
        <v>2009</v>
      </c>
      <c r="C122" s="43" t="str">
        <v>GEMBONGAN</v>
      </c>
      <c r="D122" s="51">
        <v>1658</v>
      </c>
      <c r="E122" s="33">
        <v>50.858895705521469</v>
      </c>
      <c r="F122" s="51">
        <v>1602</v>
      </c>
      <c r="G122" s="33">
        <v>49.141104294478524</v>
      </c>
      <c r="H122" s="29">
        <v>3260</v>
      </c>
      <c r="I122" s="34">
        <v>100</v>
      </c>
    </row>
    <row r="123" spans="1:9" ht="15" customHeight="1" x14ac:dyDescent="0.25">
      <c r="A123" s="42">
        <v>94</v>
      </c>
      <c r="B123" s="42" t="str">
        <v>2010</v>
      </c>
      <c r="C123" s="43" t="str">
        <v>KEMIRI</v>
      </c>
      <c r="D123" s="50">
        <v>520</v>
      </c>
      <c r="E123" s="33">
        <v>49.335863377609108</v>
      </c>
      <c r="F123" s="50">
        <v>534</v>
      </c>
      <c r="G123" s="33">
        <v>50.664136622390885</v>
      </c>
      <c r="H123" s="29">
        <v>1054</v>
      </c>
      <c r="I123" s="34">
        <v>100</v>
      </c>
    </row>
    <row r="124" spans="1:9" ht="15" customHeight="1" x14ac:dyDescent="0.25">
      <c r="A124" s="42">
        <v>95</v>
      </c>
      <c r="B124" s="42" t="str">
        <v>2011</v>
      </c>
      <c r="C124" s="43" t="str">
        <v>KARANGMANGU</v>
      </c>
      <c r="D124" s="50">
        <v>400</v>
      </c>
      <c r="E124" s="33">
        <v>48.484848484848484</v>
      </c>
      <c r="F124" s="50">
        <v>425</v>
      </c>
      <c r="G124" s="33">
        <v>51.515151515151516</v>
      </c>
      <c r="H124" s="29">
        <v>825</v>
      </c>
      <c r="I124" s="34">
        <v>100</v>
      </c>
    </row>
    <row r="125" spans="1:9" ht="15" customHeight="1" x14ac:dyDescent="0.25">
      <c r="A125" s="42">
        <v>96</v>
      </c>
      <c r="B125" s="42" t="str">
        <v>2012</v>
      </c>
      <c r="C125" s="43" t="str">
        <v>WANACIPTA</v>
      </c>
      <c r="D125" s="50">
        <v>259</v>
      </c>
      <c r="E125" s="33">
        <v>51.185770750988148</v>
      </c>
      <c r="F125" s="50">
        <v>247</v>
      </c>
      <c r="G125" s="33">
        <v>48.814229249011859</v>
      </c>
      <c r="H125" s="29">
        <v>506</v>
      </c>
      <c r="I125" s="34">
        <v>100</v>
      </c>
    </row>
    <row r="126" spans="1:9" ht="15" customHeight="1" x14ac:dyDescent="0.25">
      <c r="A126" s="42">
        <v>97</v>
      </c>
      <c r="B126" s="42" t="str">
        <v>2013</v>
      </c>
      <c r="C126" s="43" t="str">
        <v>SIGALUH</v>
      </c>
      <c r="D126" s="50">
        <v>695</v>
      </c>
      <c r="E126" s="33">
        <v>49.71387696709585</v>
      </c>
      <c r="F126" s="50">
        <v>703</v>
      </c>
      <c r="G126" s="33">
        <v>50.28612303290415</v>
      </c>
      <c r="H126" s="29">
        <v>1398</v>
      </c>
      <c r="I126" s="34">
        <v>100</v>
      </c>
    </row>
    <row r="127" spans="1:9" ht="15" customHeight="1" x14ac:dyDescent="0.25">
      <c r="A127" s="42">
        <v>98</v>
      </c>
      <c r="B127" s="42" t="str">
        <v>2014</v>
      </c>
      <c r="C127" s="43" t="str">
        <v>SINGAMERTA</v>
      </c>
      <c r="D127" s="51">
        <v>1244</v>
      </c>
      <c r="E127" s="33">
        <v>49.325931800158607</v>
      </c>
      <c r="F127" s="51">
        <v>1278</v>
      </c>
      <c r="G127" s="33">
        <v>50.674068199841393</v>
      </c>
      <c r="H127" s="29">
        <v>2522</v>
      </c>
      <c r="I127" s="34">
        <v>100</v>
      </c>
    </row>
    <row r="128" spans="1:9" ht="15" customHeight="1" x14ac:dyDescent="0.25">
      <c r="A128" s="78" t="s">
        <v>577</v>
      </c>
      <c r="B128" s="78"/>
      <c r="C128" s="78"/>
      <c r="D128" s="46">
        <f>SUM(D113:D127)</f>
        <v>16731</v>
      </c>
      <c r="E128" s="47">
        <f>D128/$H$128*100</f>
        <v>50.453846385814657</v>
      </c>
      <c r="F128" s="46">
        <f>SUM(F113:F127)</f>
        <v>16430</v>
      </c>
      <c r="G128" s="47">
        <f>F128/$H$128*100</f>
        <v>49.546153614185343</v>
      </c>
      <c r="H128" s="46">
        <f>SUM(H113:H127)</f>
        <v>33161</v>
      </c>
      <c r="I128" s="48">
        <f>H128/$H$128*100</f>
        <v>100</v>
      </c>
    </row>
    <row r="129" spans="1:9" ht="15" customHeight="1" x14ac:dyDescent="0.25">
      <c r="A129" s="80" t="s">
        <v>597</v>
      </c>
      <c r="B129" s="81"/>
      <c r="C129" s="81"/>
      <c r="D129" s="81"/>
      <c r="E129" s="81"/>
      <c r="F129" s="81"/>
      <c r="G129" s="81"/>
      <c r="H129" s="81"/>
      <c r="I129" s="82"/>
    </row>
    <row r="130" spans="1:9" ht="15" customHeight="1" x14ac:dyDescent="0.25">
      <c r="A130" s="83" t="s">
        <v>573</v>
      </c>
      <c r="B130" s="83" t="s">
        <v>589</v>
      </c>
      <c r="C130" s="83"/>
      <c r="D130" s="84" t="s">
        <v>575</v>
      </c>
      <c r="E130" s="84"/>
      <c r="F130" s="84" t="s">
        <v>576</v>
      </c>
      <c r="G130" s="84"/>
      <c r="H130" s="85" t="s">
        <v>577</v>
      </c>
      <c r="I130" s="85"/>
    </row>
    <row r="131" spans="1:9" ht="15" customHeight="1" x14ac:dyDescent="0.25">
      <c r="A131" s="83"/>
      <c r="B131" s="39" t="s">
        <v>578</v>
      </c>
      <c r="C131" s="39" t="s">
        <v>579</v>
      </c>
      <c r="D131" s="40" t="s">
        <v>577</v>
      </c>
      <c r="E131" s="40" t="s">
        <v>580</v>
      </c>
      <c r="F131" s="40" t="s">
        <v>577</v>
      </c>
      <c r="G131" s="40" t="s">
        <v>580</v>
      </c>
      <c r="H131" s="41" t="s">
        <v>590</v>
      </c>
      <c r="I131" s="41" t="s">
        <v>580</v>
      </c>
    </row>
    <row r="132" spans="1:9" ht="15" customHeight="1" x14ac:dyDescent="0.25">
      <c r="A132" s="43">
        <v>99</v>
      </c>
      <c r="B132" s="42" t="str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43" t="str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7">
        <v>1493</v>
      </c>
      <c r="E132" s="33">
        <f t="array" ref="E132:E151">D132:D151/$H$132:$H$151*100</f>
        <v>51.130136986301366</v>
      </c>
      <c r="F132" s="27">
        <f t="array" ref="F132:F151">_xlfn._xlws.FILTER('AGR_JK_3304_KAB. BANJARNEGARA'!$E$3:$E$300,(LEN('AGR_JK_3304_KAB. BANJARNEGARA'!$B$3:$B$300)=13)*(LEFT('AGR_JK_3304_KAB. BANJARNEGARA'!$B$3:$B$300,8)=MID(A129,13,8)))</f>
        <v>1427</v>
      </c>
      <c r="G132" s="33">
        <f t="array" ref="G132:G151">F132:F151/$H$132:$H$151*100</f>
        <v>48.869863013698627</v>
      </c>
      <c r="H132" s="29">
        <f t="array" ref="H132:H151">_xlfn._xlws.FILTER('AGR_JK_3304_KAB. BANJARNEGARA'!$F$3:$F$300,(LEN('AGR_JK_3304_KAB. BANJARNEGARA'!$B$3:$B$300)=13)*(LEFT('AGR_JK_3304_KAB. BANJARNEGARA'!$B$3:$B$300,8)=MID(A129,13,8)))</f>
        <v>2920</v>
      </c>
      <c r="I132" s="34">
        <f t="array" ref="I132:I151">H132:H151/$H$132:$H$151*100</f>
        <v>100</v>
      </c>
    </row>
    <row r="133" spans="1:9" ht="15" customHeight="1" x14ac:dyDescent="0.25">
      <c r="A133" s="43">
        <v>100</v>
      </c>
      <c r="B133" s="42" t="str">
        <v>1012</v>
      </c>
      <c r="C133" s="43" t="str">
        <v>REJASA</v>
      </c>
      <c r="D133" s="50">
        <v>1407</v>
      </c>
      <c r="E133" s="33">
        <v>50.684438040345825</v>
      </c>
      <c r="F133" s="50">
        <v>1369</v>
      </c>
      <c r="G133" s="33">
        <v>49.315561959654183</v>
      </c>
      <c r="H133" s="29">
        <v>2776</v>
      </c>
      <c r="I133" s="34">
        <v>100</v>
      </c>
    </row>
    <row r="134" spans="1:9" ht="15" customHeight="1" x14ac:dyDescent="0.25">
      <c r="A134" s="43">
        <v>101</v>
      </c>
      <c r="B134" s="42" t="str">
        <v>2001</v>
      </c>
      <c r="C134" s="43" t="str">
        <v>LIMBANGAN</v>
      </c>
      <c r="D134" s="50">
        <v>897</v>
      </c>
      <c r="E134" s="33">
        <v>50.649350649350644</v>
      </c>
      <c r="F134" s="50">
        <v>874</v>
      </c>
      <c r="G134" s="33">
        <v>49.350649350649348</v>
      </c>
      <c r="H134" s="29">
        <v>1771</v>
      </c>
      <c r="I134" s="34">
        <v>100</v>
      </c>
    </row>
    <row r="135" spans="1:9" ht="15" customHeight="1" x14ac:dyDescent="0.25">
      <c r="A135" s="43">
        <v>102</v>
      </c>
      <c r="B135" s="42" t="str">
        <v>2002</v>
      </c>
      <c r="C135" s="43" t="str">
        <v>PENAWANGAN</v>
      </c>
      <c r="D135" s="50">
        <v>570</v>
      </c>
      <c r="E135" s="33">
        <v>50.802139037433157</v>
      </c>
      <c r="F135" s="50">
        <v>552</v>
      </c>
      <c r="G135" s="33">
        <v>49.19786096256685</v>
      </c>
      <c r="H135" s="29">
        <v>1122</v>
      </c>
      <c r="I135" s="34">
        <v>100</v>
      </c>
    </row>
    <row r="136" spans="1:9" ht="15" customHeight="1" x14ac:dyDescent="0.25">
      <c r="A136" s="43">
        <v>103</v>
      </c>
      <c r="B136" s="42" t="str">
        <v>2003</v>
      </c>
      <c r="C136" s="43" t="str">
        <v>TALUNAMBA</v>
      </c>
      <c r="D136" s="51">
        <v>833</v>
      </c>
      <c r="E136" s="33">
        <v>50.484848484848484</v>
      </c>
      <c r="F136" s="51">
        <v>817</v>
      </c>
      <c r="G136" s="33">
        <v>49.515151515151516</v>
      </c>
      <c r="H136" s="29">
        <v>1650</v>
      </c>
      <c r="I136" s="34">
        <v>100</v>
      </c>
    </row>
    <row r="137" spans="1:9" ht="15" customHeight="1" x14ac:dyDescent="0.25">
      <c r="A137" s="43">
        <v>104</v>
      </c>
      <c r="B137" s="42" t="str">
        <v>2004</v>
      </c>
      <c r="C137" s="43" t="str">
        <v>MADUKARA</v>
      </c>
      <c r="D137" s="50">
        <v>1241</v>
      </c>
      <c r="E137" s="33">
        <v>51.387163561076612</v>
      </c>
      <c r="F137" s="50">
        <v>1174</v>
      </c>
      <c r="G137" s="33">
        <v>48.612836438923395</v>
      </c>
      <c r="H137" s="29">
        <v>2415</v>
      </c>
      <c r="I137" s="34">
        <v>100</v>
      </c>
    </row>
    <row r="138" spans="1:9" ht="15" customHeight="1" x14ac:dyDescent="0.25">
      <c r="A138" s="43">
        <v>105</v>
      </c>
      <c r="B138" s="42" t="str">
        <v>2005</v>
      </c>
      <c r="C138" s="43" t="str">
        <v>KUTAYASA</v>
      </c>
      <c r="D138" s="51">
        <v>981</v>
      </c>
      <c r="E138" s="33">
        <v>50.076569678407346</v>
      </c>
      <c r="F138" s="51">
        <v>978</v>
      </c>
      <c r="G138" s="33">
        <v>49.923430321592647</v>
      </c>
      <c r="H138" s="29">
        <v>1959</v>
      </c>
      <c r="I138" s="34">
        <v>100</v>
      </c>
    </row>
    <row r="139" spans="1:9" ht="15" customHeight="1" x14ac:dyDescent="0.25">
      <c r="A139" s="43">
        <v>106</v>
      </c>
      <c r="B139" s="42" t="str">
        <v>2006</v>
      </c>
      <c r="C139" s="43" t="str">
        <v>PEKAUMAN</v>
      </c>
      <c r="D139" s="51">
        <v>918</v>
      </c>
      <c r="E139" s="33">
        <v>51.313583007266629</v>
      </c>
      <c r="F139" s="51">
        <v>871</v>
      </c>
      <c r="G139" s="33">
        <v>48.686416992733371</v>
      </c>
      <c r="H139" s="29">
        <v>1789</v>
      </c>
      <c r="I139" s="34">
        <v>100</v>
      </c>
    </row>
    <row r="140" spans="1:9" ht="15" customHeight="1" x14ac:dyDescent="0.25">
      <c r="A140" s="43">
        <v>107</v>
      </c>
      <c r="B140" s="42" t="str">
        <v>2007</v>
      </c>
      <c r="C140" s="43" t="str">
        <v>PAGELAK</v>
      </c>
      <c r="D140" s="50">
        <v>1317</v>
      </c>
      <c r="E140" s="33">
        <v>53.04067660088603</v>
      </c>
      <c r="F140" s="50">
        <v>1166</v>
      </c>
      <c r="G140" s="33">
        <v>46.95932339911397</v>
      </c>
      <c r="H140" s="29">
        <v>2483</v>
      </c>
      <c r="I140" s="34">
        <v>100</v>
      </c>
    </row>
    <row r="141" spans="1:9" ht="15" customHeight="1" x14ac:dyDescent="0.25">
      <c r="A141" s="43">
        <v>108</v>
      </c>
      <c r="B141" s="42" t="str">
        <v>2008</v>
      </c>
      <c r="C141" s="43" t="str">
        <v>DAWUHAN</v>
      </c>
      <c r="D141" s="51">
        <v>1715</v>
      </c>
      <c r="E141" s="33">
        <v>51.05686216135755</v>
      </c>
      <c r="F141" s="51">
        <v>1644</v>
      </c>
      <c r="G141" s="33">
        <v>48.94313783864245</v>
      </c>
      <c r="H141" s="29">
        <v>3359</v>
      </c>
      <c r="I141" s="34">
        <v>100</v>
      </c>
    </row>
    <row r="142" spans="1:9" ht="15" customHeight="1" x14ac:dyDescent="0.25">
      <c r="A142" s="43">
        <v>109</v>
      </c>
      <c r="B142" s="42" t="str">
        <v>2009</v>
      </c>
      <c r="C142" s="43" t="str">
        <v>BANTARWARU</v>
      </c>
      <c r="D142" s="50">
        <v>1905</v>
      </c>
      <c r="E142" s="33">
        <v>51.031342084114648</v>
      </c>
      <c r="F142" s="50">
        <v>1828</v>
      </c>
      <c r="G142" s="33">
        <v>48.968657915885352</v>
      </c>
      <c r="H142" s="29">
        <v>3733</v>
      </c>
      <c r="I142" s="34">
        <v>100</v>
      </c>
    </row>
    <row r="143" spans="1:9" ht="15" customHeight="1" x14ac:dyDescent="0.25">
      <c r="A143" s="43">
        <v>110</v>
      </c>
      <c r="B143" s="42" t="str">
        <v>2010</v>
      </c>
      <c r="C143" s="43" t="str">
        <v>SERED</v>
      </c>
      <c r="D143" s="50">
        <v>1037</v>
      </c>
      <c r="E143" s="33">
        <v>51.083743842364541</v>
      </c>
      <c r="F143" s="50">
        <v>993</v>
      </c>
      <c r="G143" s="33">
        <v>48.916256157635466</v>
      </c>
      <c r="H143" s="29">
        <v>2030</v>
      </c>
      <c r="I143" s="34">
        <v>100</v>
      </c>
    </row>
    <row r="144" spans="1:9" ht="15" customHeight="1" x14ac:dyDescent="0.25">
      <c r="A144" s="43">
        <v>111</v>
      </c>
      <c r="B144" s="42" t="str">
        <v>2013</v>
      </c>
      <c r="C144" s="43" t="str">
        <v>PETAMBAKAN</v>
      </c>
      <c r="D144" s="50">
        <v>1599</v>
      </c>
      <c r="E144" s="33">
        <v>49.844139650872819</v>
      </c>
      <c r="F144" s="50">
        <v>1609</v>
      </c>
      <c r="G144" s="33">
        <v>50.155860349127181</v>
      </c>
      <c r="H144" s="29">
        <v>3208</v>
      </c>
      <c r="I144" s="34">
        <v>100</v>
      </c>
    </row>
    <row r="145" spans="1:9" ht="15" customHeight="1" x14ac:dyDescent="0.25">
      <c r="A145" s="43">
        <v>112</v>
      </c>
      <c r="B145" s="42" t="str">
        <v>2014</v>
      </c>
      <c r="C145" s="43" t="str">
        <v>RAKITAN</v>
      </c>
      <c r="D145" s="50">
        <v>1478</v>
      </c>
      <c r="E145" s="33">
        <v>50.668495029139528</v>
      </c>
      <c r="F145" s="50">
        <v>1439</v>
      </c>
      <c r="G145" s="33">
        <v>49.331504970860472</v>
      </c>
      <c r="H145" s="29">
        <v>2917</v>
      </c>
      <c r="I145" s="34">
        <v>100</v>
      </c>
    </row>
    <row r="146" spans="1:9" ht="15" customHeight="1" x14ac:dyDescent="0.25">
      <c r="A146" s="43">
        <v>113</v>
      </c>
      <c r="B146" s="42" t="str">
        <v>2015</v>
      </c>
      <c r="C146" s="43" t="str">
        <v>BLITAR</v>
      </c>
      <c r="D146" s="51">
        <v>1129</v>
      </c>
      <c r="E146" s="33">
        <v>52.438457965629361</v>
      </c>
      <c r="F146" s="51">
        <v>1024</v>
      </c>
      <c r="G146" s="33">
        <v>47.561542034370646</v>
      </c>
      <c r="H146" s="29">
        <v>2153</v>
      </c>
      <c r="I146" s="34">
        <v>100</v>
      </c>
    </row>
    <row r="147" spans="1:9" ht="15" customHeight="1" x14ac:dyDescent="0.25">
      <c r="A147" s="43">
        <v>114</v>
      </c>
      <c r="B147" s="42" t="str">
        <v>2016</v>
      </c>
      <c r="C147" s="43" t="str">
        <v>KALIURIP</v>
      </c>
      <c r="D147" s="50">
        <v>1864</v>
      </c>
      <c r="E147" s="33">
        <v>51.18066996155958</v>
      </c>
      <c r="F147" s="50">
        <v>1778</v>
      </c>
      <c r="G147" s="33">
        <v>48.81933003844042</v>
      </c>
      <c r="H147" s="29">
        <v>3642</v>
      </c>
      <c r="I147" s="34">
        <v>100</v>
      </c>
    </row>
    <row r="148" spans="1:9" ht="15" customHeight="1" x14ac:dyDescent="0.25">
      <c r="A148" s="43">
        <v>115</v>
      </c>
      <c r="B148" s="42" t="str">
        <v>2017</v>
      </c>
      <c r="C148" s="43" t="str">
        <v>KARANGANYAR</v>
      </c>
      <c r="D148" s="50">
        <v>478</v>
      </c>
      <c r="E148" s="33">
        <v>50.262881177707676</v>
      </c>
      <c r="F148" s="50">
        <v>473</v>
      </c>
      <c r="G148" s="33">
        <v>49.737118822292324</v>
      </c>
      <c r="H148" s="29">
        <v>951</v>
      </c>
      <c r="I148" s="34">
        <v>100</v>
      </c>
    </row>
    <row r="149" spans="1:9" ht="15" customHeight="1" x14ac:dyDescent="0.25">
      <c r="A149" s="43">
        <v>116</v>
      </c>
      <c r="B149" s="42" t="str">
        <v>2018</v>
      </c>
      <c r="C149" s="43" t="str">
        <v>GUNUNGGIANA</v>
      </c>
      <c r="D149" s="50">
        <v>1315</v>
      </c>
      <c r="E149" s="33">
        <v>51.008533747090766</v>
      </c>
      <c r="F149" s="50">
        <v>1263</v>
      </c>
      <c r="G149" s="33">
        <v>48.991466252909234</v>
      </c>
      <c r="H149" s="29">
        <v>2578</v>
      </c>
      <c r="I149" s="34">
        <v>100</v>
      </c>
    </row>
    <row r="150" spans="1:9" ht="15" customHeight="1" x14ac:dyDescent="0.25">
      <c r="A150" s="43">
        <v>117</v>
      </c>
      <c r="B150" s="42" t="str">
        <v>2019</v>
      </c>
      <c r="C150" s="43" t="str">
        <v>CLAPAR</v>
      </c>
      <c r="D150" s="50">
        <v>1196</v>
      </c>
      <c r="E150" s="33">
        <v>50.764006791171482</v>
      </c>
      <c r="F150" s="27">
        <v>1160</v>
      </c>
      <c r="G150" s="33">
        <v>49.235993208828518</v>
      </c>
      <c r="H150" s="29">
        <v>2356</v>
      </c>
      <c r="I150" s="34">
        <v>100</v>
      </c>
    </row>
    <row r="151" spans="1:9" ht="15" customHeight="1" x14ac:dyDescent="0.25">
      <c r="A151" s="43">
        <v>118</v>
      </c>
      <c r="B151" s="42" t="str">
        <v>2020</v>
      </c>
      <c r="C151" s="43" t="str">
        <v>PAKELEN</v>
      </c>
      <c r="D151" s="51">
        <v>792</v>
      </c>
      <c r="E151" s="33">
        <v>51.8664047151277</v>
      </c>
      <c r="F151" s="45">
        <v>735</v>
      </c>
      <c r="G151" s="33">
        <v>48.1335952848723</v>
      </c>
      <c r="H151" s="29">
        <v>1527</v>
      </c>
      <c r="I151" s="34">
        <v>100</v>
      </c>
    </row>
    <row r="152" spans="1:9" ht="15" customHeight="1" x14ac:dyDescent="0.25">
      <c r="A152" s="78" t="s">
        <v>577</v>
      </c>
      <c r="B152" s="78"/>
      <c r="C152" s="78"/>
      <c r="D152" s="46">
        <f>SUM(D132:D151)</f>
        <v>24165</v>
      </c>
      <c r="E152" s="47">
        <f>D152/$H$152*100</f>
        <v>51.046705676081025</v>
      </c>
      <c r="F152" s="46">
        <f>SUM(F132:F151)</f>
        <v>23174</v>
      </c>
      <c r="G152" s="47">
        <f>F152/$H$152*100</f>
        <v>48.953294323918968</v>
      </c>
      <c r="H152" s="46">
        <f>SUM(H132:H151)</f>
        <v>47339</v>
      </c>
      <c r="I152" s="48">
        <f>H152/$H$152*100</f>
        <v>100</v>
      </c>
    </row>
    <row r="153" spans="1:9" ht="15" customHeight="1" x14ac:dyDescent="0.25">
      <c r="A153" s="86" t="s">
        <v>598</v>
      </c>
      <c r="B153" s="86"/>
      <c r="C153" s="86"/>
      <c r="D153" s="86"/>
      <c r="E153" s="86"/>
      <c r="F153" s="86"/>
      <c r="G153" s="86"/>
      <c r="H153" s="86"/>
      <c r="I153" s="86"/>
    </row>
    <row r="154" spans="1:9" ht="15" customHeight="1" x14ac:dyDescent="0.25">
      <c r="A154" s="83" t="s">
        <v>573</v>
      </c>
      <c r="B154" s="83" t="s">
        <v>589</v>
      </c>
      <c r="C154" s="83"/>
      <c r="D154" s="84" t="s">
        <v>575</v>
      </c>
      <c r="E154" s="84"/>
      <c r="F154" s="84" t="s">
        <v>576</v>
      </c>
      <c r="G154" s="84"/>
      <c r="H154" s="85" t="s">
        <v>577</v>
      </c>
      <c r="I154" s="85"/>
    </row>
    <row r="155" spans="1:9" ht="15" customHeight="1" x14ac:dyDescent="0.25">
      <c r="A155" s="83"/>
      <c r="B155" s="39" t="s">
        <v>578</v>
      </c>
      <c r="C155" s="39" t="s">
        <v>579</v>
      </c>
      <c r="D155" s="40" t="s">
        <v>577</v>
      </c>
      <c r="E155" s="40" t="s">
        <v>580</v>
      </c>
      <c r="F155" s="40" t="s">
        <v>577</v>
      </c>
      <c r="G155" s="40" t="s">
        <v>580</v>
      </c>
      <c r="H155" s="41" t="s">
        <v>590</v>
      </c>
      <c r="I155" s="41" t="s">
        <v>580</v>
      </c>
    </row>
    <row r="156" spans="1:9" ht="15" customHeight="1" x14ac:dyDescent="0.25">
      <c r="A156" s="42">
        <v>119</v>
      </c>
      <c r="B156" s="42" t="str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43" t="str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7">
        <v>1375</v>
      </c>
      <c r="E156" s="33">
        <f t="array" ref="E156:E172">D156:D172/$H$156:$H$172*100</f>
        <v>49.674855491329481</v>
      </c>
      <c r="F156" s="27">
        <f t="array" ref="F156:F172">_xlfn._xlws.FILTER('AGR_JK_3304_KAB. BANJARNEGARA'!$E$3:$E$300,(LEN('AGR_JK_3304_KAB. BANJARNEGARA'!$B$3:$B$300)=13)*(LEFT('AGR_JK_3304_KAB. BANJARNEGARA'!$B$3:$B$300,8)=MID(A153,13,8)))</f>
        <v>1393</v>
      </c>
      <c r="G156" s="33">
        <f t="array" ref="G156:G164">F156:F164/$H$156:$H$164*100</f>
        <v>50.325144508670519</v>
      </c>
      <c r="H156" s="29">
        <f t="array" ref="H156:H172">_xlfn._xlws.FILTER('AGR_JK_3304_KAB. BANJARNEGARA'!$F$3:$F$300,(LEN('AGR_JK_3304_KAB. BANJARNEGARA'!$B$3:$B$300)=13)*(LEFT('AGR_JK_3304_KAB. BANJARNEGARA'!$B$3:$B$300,8)=MID(A153,13,8)))</f>
        <v>2768</v>
      </c>
      <c r="I156" s="34">
        <f t="array" ref="I156:I172">H156:H172/$H$156:$H$172*100</f>
        <v>100</v>
      </c>
    </row>
    <row r="157" spans="1:9" ht="15" customHeight="1" x14ac:dyDescent="0.25">
      <c r="A157" s="42">
        <v>120</v>
      </c>
      <c r="B157" s="42" t="str">
        <v>2002</v>
      </c>
      <c r="C157" s="43" t="str">
        <v>BANJARKULON</v>
      </c>
      <c r="D157" s="50">
        <v>1179</v>
      </c>
      <c r="E157" s="33">
        <v>50.255754475703327</v>
      </c>
      <c r="F157" s="50">
        <v>1167</v>
      </c>
      <c r="G157" s="33">
        <v>49.744245524296673</v>
      </c>
      <c r="H157" s="29">
        <v>2346</v>
      </c>
      <c r="I157" s="34">
        <v>100</v>
      </c>
    </row>
    <row r="158" spans="1:9" ht="15" customHeight="1" x14ac:dyDescent="0.25">
      <c r="A158" s="42">
        <v>121</v>
      </c>
      <c r="B158" s="42" t="str">
        <v>2003</v>
      </c>
      <c r="C158" s="43" t="str">
        <v>BANJARMANGU</v>
      </c>
      <c r="D158" s="50">
        <v>1746</v>
      </c>
      <c r="E158" s="33">
        <v>50.859306728808619</v>
      </c>
      <c r="F158" s="50">
        <v>1687</v>
      </c>
      <c r="G158" s="33">
        <v>49.140693271191374</v>
      </c>
      <c r="H158" s="29">
        <v>3433</v>
      </c>
      <c r="I158" s="34">
        <v>100</v>
      </c>
    </row>
    <row r="159" spans="1:9" ht="15" customHeight="1" x14ac:dyDescent="0.25">
      <c r="A159" s="42">
        <v>122</v>
      </c>
      <c r="B159" s="42" t="str">
        <v>2004</v>
      </c>
      <c r="C159" s="43" t="str">
        <v>REJASARI</v>
      </c>
      <c r="D159" s="50">
        <v>1281</v>
      </c>
      <c r="E159" s="33">
        <v>52.20048899755502</v>
      </c>
      <c r="F159" s="50">
        <v>1173</v>
      </c>
      <c r="G159" s="33">
        <v>47.799511002444987</v>
      </c>
      <c r="H159" s="29">
        <v>2454</v>
      </c>
      <c r="I159" s="34">
        <v>100</v>
      </c>
    </row>
    <row r="160" spans="1:9" ht="15" customHeight="1" x14ac:dyDescent="0.25">
      <c r="A160" s="42">
        <v>123</v>
      </c>
      <c r="B160" s="42" t="str">
        <v>2005</v>
      </c>
      <c r="C160" s="43" t="str">
        <v>KESENET</v>
      </c>
      <c r="D160" s="51">
        <v>2157</v>
      </c>
      <c r="E160" s="33">
        <v>50.932703659976383</v>
      </c>
      <c r="F160" s="51">
        <v>2078</v>
      </c>
      <c r="G160" s="33">
        <v>49.067296340023617</v>
      </c>
      <c r="H160" s="29">
        <v>4235</v>
      </c>
      <c r="I160" s="34">
        <v>100</v>
      </c>
    </row>
    <row r="161" spans="1:9" ht="15" customHeight="1" x14ac:dyDescent="0.25">
      <c r="A161" s="42">
        <v>124</v>
      </c>
      <c r="B161" s="42" t="str">
        <v>2006</v>
      </c>
      <c r="C161" s="43" t="str">
        <v>KALILUNJAR</v>
      </c>
      <c r="D161" s="50">
        <v>1568</v>
      </c>
      <c r="E161" s="33">
        <v>50.711513583441139</v>
      </c>
      <c r="F161" s="50">
        <v>1524</v>
      </c>
      <c r="G161" s="33">
        <v>49.288486416558861</v>
      </c>
      <c r="H161" s="29">
        <v>3092</v>
      </c>
      <c r="I161" s="34">
        <v>100</v>
      </c>
    </row>
    <row r="162" spans="1:9" ht="15" customHeight="1" x14ac:dyDescent="0.25">
      <c r="A162" s="42">
        <v>125</v>
      </c>
      <c r="B162" s="42" t="str">
        <v>2007</v>
      </c>
      <c r="C162" s="43" t="str">
        <v>SIJERUK</v>
      </c>
      <c r="D162" s="51">
        <v>1265</v>
      </c>
      <c r="E162" s="33">
        <v>51.801801801801808</v>
      </c>
      <c r="F162" s="51">
        <v>1177</v>
      </c>
      <c r="G162" s="33">
        <v>48.198198198198199</v>
      </c>
      <c r="H162" s="29">
        <v>2442</v>
      </c>
      <c r="I162" s="34">
        <v>100</v>
      </c>
    </row>
    <row r="163" spans="1:9" ht="15" customHeight="1" x14ac:dyDescent="0.25">
      <c r="A163" s="42">
        <v>126</v>
      </c>
      <c r="B163" s="42" t="str">
        <v>2008</v>
      </c>
      <c r="C163" s="43" t="str">
        <v>KENDAGA</v>
      </c>
      <c r="D163" s="51">
        <v>2055</v>
      </c>
      <c r="E163" s="33">
        <v>52.477017364657819</v>
      </c>
      <c r="F163" s="51">
        <v>1861</v>
      </c>
      <c r="G163" s="33">
        <v>47.522982635342188</v>
      </c>
      <c r="H163" s="29">
        <v>3916</v>
      </c>
      <c r="I163" s="34">
        <v>100</v>
      </c>
    </row>
    <row r="164" spans="1:9" ht="15" customHeight="1" x14ac:dyDescent="0.25">
      <c r="A164" s="42">
        <v>127</v>
      </c>
      <c r="B164" s="42" t="str">
        <v>2009</v>
      </c>
      <c r="C164" s="43" t="str">
        <v>GRIPIT</v>
      </c>
      <c r="D164" s="50">
        <v>581</v>
      </c>
      <c r="E164" s="33">
        <v>49.828473413379079</v>
      </c>
      <c r="F164" s="50">
        <v>585</v>
      </c>
      <c r="G164" s="33">
        <v>50.171526586620928</v>
      </c>
      <c r="H164" s="29">
        <v>1166</v>
      </c>
      <c r="I164" s="34">
        <v>100</v>
      </c>
    </row>
    <row r="165" spans="1:9" ht="15" customHeight="1" x14ac:dyDescent="0.25">
      <c r="A165" s="42">
        <v>128</v>
      </c>
      <c r="B165" s="42" t="str">
        <v>2010</v>
      </c>
      <c r="C165" s="43" t="str">
        <v>PEKANDANGAN</v>
      </c>
      <c r="D165" s="51">
        <v>1227</v>
      </c>
      <c r="E165" s="33">
        <v>50.828500414250207</v>
      </c>
      <c r="F165" s="51">
        <v>1187</v>
      </c>
      <c r="G165" s="33">
        <v>49.12</v>
      </c>
      <c r="H165" s="29">
        <v>2414</v>
      </c>
      <c r="I165" s="34">
        <v>100</v>
      </c>
    </row>
    <row r="166" spans="1:9" ht="15" customHeight="1" x14ac:dyDescent="0.25">
      <c r="A166" s="42">
        <v>129</v>
      </c>
      <c r="B166" s="42" t="str">
        <v>2011</v>
      </c>
      <c r="C166" s="43" t="str">
        <v>SIGEBLOG</v>
      </c>
      <c r="D166" s="50">
        <v>2223</v>
      </c>
      <c r="E166" s="33">
        <v>51.975683890577507</v>
      </c>
      <c r="F166" s="50">
        <v>2054</v>
      </c>
      <c r="G166" s="33">
        <f t="array" ref="G166:G172">F166:F172/$H$166:$H$172*100</f>
        <v>48.024316109422493</v>
      </c>
      <c r="H166" s="29">
        <v>4277</v>
      </c>
      <c r="I166" s="34">
        <v>100</v>
      </c>
    </row>
    <row r="167" spans="1:9" ht="15" customHeight="1" x14ac:dyDescent="0.25">
      <c r="A167" s="42">
        <v>130</v>
      </c>
      <c r="B167" s="42" t="str">
        <v>2012</v>
      </c>
      <c r="C167" s="43" t="str">
        <v>PASEH</v>
      </c>
      <c r="D167" s="50">
        <v>1597</v>
      </c>
      <c r="E167" s="33">
        <v>51.599353796445882</v>
      </c>
      <c r="F167" s="50">
        <v>1498</v>
      </c>
      <c r="G167" s="33">
        <v>48.400646203554118</v>
      </c>
      <c r="H167" s="29">
        <v>3095</v>
      </c>
      <c r="I167" s="34">
        <v>100</v>
      </c>
    </row>
    <row r="168" spans="1:9" ht="15" customHeight="1" x14ac:dyDescent="0.25">
      <c r="A168" s="42">
        <v>131</v>
      </c>
      <c r="B168" s="42" t="str">
        <v>2013</v>
      </c>
      <c r="C168" s="43" t="str">
        <v>SIPEDANG</v>
      </c>
      <c r="D168" s="50">
        <v>2085</v>
      </c>
      <c r="E168" s="33">
        <v>51.736972704714645</v>
      </c>
      <c r="F168" s="50">
        <v>1945</v>
      </c>
      <c r="G168" s="33">
        <v>48.263027295285362</v>
      </c>
      <c r="H168" s="29">
        <v>4030</v>
      </c>
      <c r="I168" s="34">
        <v>100</v>
      </c>
    </row>
    <row r="169" spans="1:9" ht="15" customHeight="1" x14ac:dyDescent="0.25">
      <c r="A169" s="42">
        <v>132</v>
      </c>
      <c r="B169" s="42" t="str">
        <v>2014</v>
      </c>
      <c r="C169" s="43" t="str">
        <v>SIJENGGUNG</v>
      </c>
      <c r="D169" s="50">
        <v>955</v>
      </c>
      <c r="E169" s="33">
        <v>49.921589127025612</v>
      </c>
      <c r="F169" s="50">
        <v>958</v>
      </c>
      <c r="G169" s="33">
        <v>50.078410872974388</v>
      </c>
      <c r="H169" s="29">
        <v>1913</v>
      </c>
      <c r="I169" s="34">
        <v>100</v>
      </c>
    </row>
    <row r="170" spans="1:9" ht="15" customHeight="1" x14ac:dyDescent="0.25">
      <c r="A170" s="42">
        <v>133</v>
      </c>
      <c r="B170" s="42" t="str">
        <v>2015</v>
      </c>
      <c r="C170" s="43" t="str">
        <v>BEJI</v>
      </c>
      <c r="D170" s="51">
        <v>1492</v>
      </c>
      <c r="E170" s="33">
        <v>50.473612990527741</v>
      </c>
      <c r="F170" s="51">
        <v>1464</v>
      </c>
      <c r="G170" s="33">
        <v>49.526387009472259</v>
      </c>
      <c r="H170" s="29">
        <v>2956</v>
      </c>
      <c r="I170" s="34">
        <v>100</v>
      </c>
    </row>
    <row r="171" spans="1:9" ht="15" customHeight="1" x14ac:dyDescent="0.25">
      <c r="A171" s="42">
        <v>134</v>
      </c>
      <c r="B171" s="42" t="str">
        <v>2016</v>
      </c>
      <c r="C171" s="43" t="str">
        <v>PRENDENGAN</v>
      </c>
      <c r="D171" s="27">
        <v>1268</v>
      </c>
      <c r="E171" s="53">
        <v>51.839738348323792</v>
      </c>
      <c r="F171" s="27">
        <v>1178</v>
      </c>
      <c r="G171" s="53">
        <v>48.160261651676208</v>
      </c>
      <c r="H171" s="29">
        <v>2446</v>
      </c>
      <c r="I171" s="54">
        <v>100</v>
      </c>
    </row>
    <row r="172" spans="1:9" ht="15" customHeight="1" x14ac:dyDescent="0.25">
      <c r="A172" s="42">
        <v>135</v>
      </c>
      <c r="B172" s="42" t="str">
        <v>2017</v>
      </c>
      <c r="C172" s="43" t="str">
        <v>MAJATENGAH</v>
      </c>
      <c r="D172" s="45">
        <v>552</v>
      </c>
      <c r="E172" s="53">
        <v>51.063829787234042</v>
      </c>
      <c r="F172" s="45">
        <v>529</v>
      </c>
      <c r="G172" s="53">
        <v>48.936170212765958</v>
      </c>
      <c r="H172" s="29">
        <v>1081</v>
      </c>
      <c r="I172" s="54">
        <v>100</v>
      </c>
    </row>
    <row r="173" spans="1:9" ht="15" customHeight="1" x14ac:dyDescent="0.25">
      <c r="A173" s="78" t="s">
        <v>577</v>
      </c>
      <c r="B173" s="78"/>
      <c r="C173" s="78"/>
      <c r="D173" s="46">
        <f>SUM(D156:D172)</f>
        <v>24606</v>
      </c>
      <c r="E173" s="47">
        <f>D173/$H$173*100</f>
        <v>51.194241011984019</v>
      </c>
      <c r="F173" s="46">
        <f>SUM(F156:F172)</f>
        <v>23458</v>
      </c>
      <c r="G173" s="47">
        <f>F173/$H$173*100</f>
        <v>48.805758988015981</v>
      </c>
      <c r="H173" s="46">
        <f>SUM(H156:H172)</f>
        <v>48064</v>
      </c>
      <c r="I173" s="48">
        <f>H173/$H$173*100</f>
        <v>100</v>
      </c>
    </row>
    <row r="174" spans="1:9" ht="15" customHeight="1" x14ac:dyDescent="0.25">
      <c r="A174" s="86" t="s">
        <v>599</v>
      </c>
      <c r="B174" s="86"/>
      <c r="C174" s="86"/>
      <c r="D174" s="86"/>
      <c r="E174" s="86"/>
      <c r="F174" s="86"/>
      <c r="G174" s="86"/>
      <c r="H174" s="86"/>
      <c r="I174" s="86"/>
    </row>
    <row r="175" spans="1:9" ht="15" customHeight="1" x14ac:dyDescent="0.25">
      <c r="A175" s="83" t="s">
        <v>573</v>
      </c>
      <c r="B175" s="83" t="s">
        <v>589</v>
      </c>
      <c r="C175" s="83"/>
      <c r="D175" s="84" t="s">
        <v>575</v>
      </c>
      <c r="E175" s="84"/>
      <c r="F175" s="84" t="s">
        <v>576</v>
      </c>
      <c r="G175" s="84"/>
      <c r="H175" s="85" t="s">
        <v>577</v>
      </c>
      <c r="I175" s="85"/>
    </row>
    <row r="176" spans="1:9" ht="15" customHeight="1" x14ac:dyDescent="0.25">
      <c r="A176" s="83"/>
      <c r="B176" s="39" t="s">
        <v>578</v>
      </c>
      <c r="C176" s="39" t="s">
        <v>579</v>
      </c>
      <c r="D176" s="40" t="s">
        <v>577</v>
      </c>
      <c r="E176" s="40" t="s">
        <v>580</v>
      </c>
      <c r="F176" s="40" t="s">
        <v>577</v>
      </c>
      <c r="G176" s="40" t="s">
        <v>580</v>
      </c>
      <c r="H176" s="41" t="s">
        <v>590</v>
      </c>
      <c r="I176" s="41" t="s">
        <v>580</v>
      </c>
    </row>
    <row r="177" spans="1:9" ht="15" customHeight="1" x14ac:dyDescent="0.25">
      <c r="A177" s="42">
        <v>136</v>
      </c>
      <c r="B177" s="42" t="str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43" t="str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7">
        <v>1396</v>
      </c>
      <c r="E177" s="33">
        <f t="array" ref="E177:E187">D177:D187/$H$177:$H$187*100</f>
        <v>50</v>
      </c>
      <c r="F177" s="27">
        <f t="array" ref="F177:F187">_xlfn._xlws.FILTER('AGR_JK_3304_KAB. BANJARNEGARA'!$E$3:$E$300,(LEN('AGR_JK_3304_KAB. BANJARNEGARA'!$B$3:$B$300)=13)*(LEFT('AGR_JK_3304_KAB. BANJARNEGARA'!$B$3:$B$300,8)=MID(A174,13,8)))</f>
        <v>1396</v>
      </c>
      <c r="G177" s="33">
        <f t="array" ref="G177:G187">F177:F187/$H$177:$H$187*100</f>
        <v>50</v>
      </c>
      <c r="H177" s="29">
        <f t="array" ref="H177:H187">_xlfn._xlws.FILTER('AGR_JK_3304_KAB. BANJARNEGARA'!$F$3:$F$300,(LEN('AGR_JK_3304_KAB. BANJARNEGARA'!$B$3:$B$300)=13)*(LEFT('AGR_JK_3304_KAB. BANJARNEGARA'!$B$3:$B$300,8)=MID(A174,13,8)))</f>
        <v>2792</v>
      </c>
      <c r="I177" s="34">
        <f t="array" ref="I177:I187">H177:H187/$H$177:$H$187*100</f>
        <v>100</v>
      </c>
    </row>
    <row r="178" spans="1:9" ht="15" customHeight="1" x14ac:dyDescent="0.25">
      <c r="A178" s="42">
        <v>137</v>
      </c>
      <c r="B178" s="42" t="str">
        <v>2002</v>
      </c>
      <c r="C178" s="43" t="str">
        <v>TAPEN</v>
      </c>
      <c r="D178" s="50">
        <v>1270</v>
      </c>
      <c r="E178" s="33">
        <v>49.110595514307811</v>
      </c>
      <c r="F178" s="50">
        <v>1316</v>
      </c>
      <c r="G178" s="33">
        <v>50.889404485692189</v>
      </c>
      <c r="H178" s="29">
        <v>2586</v>
      </c>
      <c r="I178" s="34">
        <v>100</v>
      </c>
    </row>
    <row r="179" spans="1:9" ht="15" customHeight="1" x14ac:dyDescent="0.25">
      <c r="A179" s="42">
        <v>138</v>
      </c>
      <c r="B179" s="42" t="str">
        <v>2003</v>
      </c>
      <c r="C179" s="43" t="str">
        <v>KARANGJAMBE</v>
      </c>
      <c r="D179" s="50">
        <v>1084</v>
      </c>
      <c r="E179" s="33">
        <v>49.542961608775137</v>
      </c>
      <c r="F179" s="50">
        <v>1104</v>
      </c>
      <c r="G179" s="33">
        <v>50.457038391224863</v>
      </c>
      <c r="H179" s="29">
        <v>2188</v>
      </c>
      <c r="I179" s="34">
        <v>100</v>
      </c>
    </row>
    <row r="180" spans="1:9" ht="15" customHeight="1" x14ac:dyDescent="0.25">
      <c r="A180" s="42">
        <v>139</v>
      </c>
      <c r="B180" s="42" t="str">
        <v>2004</v>
      </c>
      <c r="C180" s="43" t="str">
        <v>WANADADI</v>
      </c>
      <c r="D180" s="50">
        <v>1664</v>
      </c>
      <c r="E180" s="33">
        <v>49.347568208778178</v>
      </c>
      <c r="F180" s="50">
        <v>1708</v>
      </c>
      <c r="G180" s="33">
        <v>50.652431791221829</v>
      </c>
      <c r="H180" s="29">
        <v>3372</v>
      </c>
      <c r="I180" s="34">
        <v>100</v>
      </c>
    </row>
    <row r="181" spans="1:9" ht="15" customHeight="1" x14ac:dyDescent="0.25">
      <c r="A181" s="42">
        <v>140</v>
      </c>
      <c r="B181" s="42" t="str">
        <v>2005</v>
      </c>
      <c r="C181" s="43" t="str">
        <v>WANAKARSA</v>
      </c>
      <c r="D181" s="51">
        <v>1807</v>
      </c>
      <c r="E181" s="33">
        <v>51.364411597498581</v>
      </c>
      <c r="F181" s="51">
        <v>1711</v>
      </c>
      <c r="G181" s="33">
        <v>48.635588402501426</v>
      </c>
      <c r="H181" s="29">
        <v>3518</v>
      </c>
      <c r="I181" s="34">
        <v>100</v>
      </c>
    </row>
    <row r="182" spans="1:9" ht="15" customHeight="1" x14ac:dyDescent="0.25">
      <c r="A182" s="42">
        <v>141</v>
      </c>
      <c r="B182" s="42" t="str">
        <v>2006</v>
      </c>
      <c r="C182" s="43" t="str">
        <v>LEMAHJAYA</v>
      </c>
      <c r="D182" s="50">
        <v>3228</v>
      </c>
      <c r="E182" s="33">
        <v>51.549025870328968</v>
      </c>
      <c r="F182" s="50">
        <v>3034</v>
      </c>
      <c r="G182" s="33">
        <v>48.450974129671032</v>
      </c>
      <c r="H182" s="29">
        <v>6262</v>
      </c>
      <c r="I182" s="34">
        <v>100</v>
      </c>
    </row>
    <row r="183" spans="1:9" ht="15" customHeight="1" x14ac:dyDescent="0.25">
      <c r="A183" s="42">
        <v>142</v>
      </c>
      <c r="B183" s="42" t="str">
        <v>2007</v>
      </c>
      <c r="C183" s="43" t="str">
        <v>KARANGKEMIRI</v>
      </c>
      <c r="D183" s="51">
        <v>1655</v>
      </c>
      <c r="E183" s="33">
        <v>51.222531723924483</v>
      </c>
      <c r="F183" s="51">
        <v>1576</v>
      </c>
      <c r="G183" s="33">
        <v>48.777468276075517</v>
      </c>
      <c r="H183" s="29">
        <v>3231</v>
      </c>
      <c r="I183" s="34">
        <v>100</v>
      </c>
    </row>
    <row r="184" spans="1:9" ht="15" customHeight="1" x14ac:dyDescent="0.25">
      <c r="A184" s="42">
        <v>143</v>
      </c>
      <c r="B184" s="42" t="str">
        <v>2008</v>
      </c>
      <c r="C184" s="43" t="str">
        <v>KANDANGWANGI</v>
      </c>
      <c r="D184" s="51">
        <v>2003</v>
      </c>
      <c r="E184" s="33">
        <v>50.837563451776646</v>
      </c>
      <c r="F184" s="51">
        <v>1937</v>
      </c>
      <c r="G184" s="33">
        <v>49.162436548223347</v>
      </c>
      <c r="H184" s="29">
        <v>3940</v>
      </c>
      <c r="I184" s="34">
        <v>100</v>
      </c>
    </row>
    <row r="185" spans="1:9" ht="15" customHeight="1" x14ac:dyDescent="0.25">
      <c r="A185" s="42">
        <v>144</v>
      </c>
      <c r="B185" s="42" t="str">
        <v>2009</v>
      </c>
      <c r="C185" s="43" t="str">
        <v>MEDAYU</v>
      </c>
      <c r="D185" s="50">
        <v>1574</v>
      </c>
      <c r="E185" s="33">
        <v>49.968253968253968</v>
      </c>
      <c r="F185" s="50">
        <v>1576</v>
      </c>
      <c r="G185" s="33">
        <v>50.031746031746025</v>
      </c>
      <c r="H185" s="29">
        <v>3150</v>
      </c>
      <c r="I185" s="34">
        <v>100</v>
      </c>
    </row>
    <row r="186" spans="1:9" ht="15" customHeight="1" x14ac:dyDescent="0.25">
      <c r="A186" s="42">
        <v>145</v>
      </c>
      <c r="B186" s="42" t="str">
        <v>2010</v>
      </c>
      <c r="C186" s="43" t="str">
        <v>LINGGASARI</v>
      </c>
      <c r="D186" s="51">
        <v>1539</v>
      </c>
      <c r="E186" s="33">
        <v>50.558475689881732</v>
      </c>
      <c r="F186" s="51">
        <v>1505</v>
      </c>
      <c r="G186" s="33">
        <v>49.441524310118268</v>
      </c>
      <c r="H186" s="29">
        <v>3044</v>
      </c>
      <c r="I186" s="34">
        <v>100</v>
      </c>
    </row>
    <row r="187" spans="1:9" ht="15" customHeight="1" x14ac:dyDescent="0.25">
      <c r="A187" s="42">
        <v>146</v>
      </c>
      <c r="B187" s="42" t="str">
        <v>2011</v>
      </c>
      <c r="C187" s="43" t="str">
        <v>GUMINGSIR</v>
      </c>
      <c r="D187" s="50">
        <v>884</v>
      </c>
      <c r="E187" s="33">
        <v>51.009809578765143</v>
      </c>
      <c r="F187" s="50">
        <v>849</v>
      </c>
      <c r="G187" s="33">
        <v>48.99019042123485</v>
      </c>
      <c r="H187" s="29">
        <v>1733</v>
      </c>
      <c r="I187" s="34">
        <v>100</v>
      </c>
    </row>
    <row r="188" spans="1:9" ht="15" customHeight="1" x14ac:dyDescent="0.25">
      <c r="A188" s="78" t="s">
        <v>577</v>
      </c>
      <c r="B188" s="78"/>
      <c r="C188" s="78"/>
      <c r="D188" s="46">
        <f>SUM(D177:D187)</f>
        <v>18104</v>
      </c>
      <c r="E188" s="47">
        <f>D188/$H$188*100</f>
        <v>50.547241456332372</v>
      </c>
      <c r="F188" s="46">
        <f>SUM(F177:F187)</f>
        <v>17712</v>
      </c>
      <c r="G188" s="47">
        <f>F188/$H$188*100</f>
        <v>49.452758543667635</v>
      </c>
      <c r="H188" s="46">
        <f>SUM(H177:H187)</f>
        <v>35816</v>
      </c>
      <c r="I188" s="48">
        <f>H188/$H$188*100</f>
        <v>100</v>
      </c>
    </row>
    <row r="189" spans="1:9" ht="15" customHeight="1" x14ac:dyDescent="0.25">
      <c r="A189" s="86" t="s">
        <v>600</v>
      </c>
      <c r="B189" s="86"/>
      <c r="C189" s="86"/>
      <c r="D189" s="86"/>
      <c r="E189" s="86"/>
      <c r="F189" s="86"/>
      <c r="G189" s="86"/>
      <c r="H189" s="86"/>
      <c r="I189" s="86"/>
    </row>
    <row r="190" spans="1:9" ht="15" customHeight="1" x14ac:dyDescent="0.25">
      <c r="A190" s="83" t="s">
        <v>573</v>
      </c>
      <c r="B190" s="83" t="s">
        <v>589</v>
      </c>
      <c r="C190" s="83"/>
      <c r="D190" s="84" t="s">
        <v>575</v>
      </c>
      <c r="E190" s="84"/>
      <c r="F190" s="84" t="s">
        <v>576</v>
      </c>
      <c r="G190" s="84"/>
      <c r="H190" s="85" t="s">
        <v>577</v>
      </c>
      <c r="I190" s="85"/>
    </row>
    <row r="191" spans="1:9" ht="15" customHeight="1" x14ac:dyDescent="0.25">
      <c r="A191" s="83"/>
      <c r="B191" s="39" t="s">
        <v>578</v>
      </c>
      <c r="C191" s="39" t="s">
        <v>579</v>
      </c>
      <c r="D191" s="40" t="s">
        <v>577</v>
      </c>
      <c r="E191" s="40" t="s">
        <v>580</v>
      </c>
      <c r="F191" s="40" t="s">
        <v>577</v>
      </c>
      <c r="G191" s="40" t="s">
        <v>580</v>
      </c>
      <c r="H191" s="41" t="s">
        <v>590</v>
      </c>
      <c r="I191" s="41" t="s">
        <v>580</v>
      </c>
    </row>
    <row r="192" spans="1:9" ht="15" customHeight="1" x14ac:dyDescent="0.25">
      <c r="A192" s="42">
        <v>147</v>
      </c>
      <c r="B192" s="42" t="str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43" t="str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7">
        <v>3269</v>
      </c>
      <c r="E192" s="33">
        <f t="array" ref="E192:E202">D192:D202/$H$192:$H$202*100</f>
        <v>49.908396946564885</v>
      </c>
      <c r="F192" s="27">
        <f t="array" ref="F192:F202">_xlfn._xlws.FILTER('AGR_JK_3304_KAB. BANJARNEGARA'!$E$3:$E$300,(LEN('AGR_JK_3304_KAB. BANJARNEGARA'!$B$3:$B$300)=13)*(LEFT('AGR_JK_3304_KAB. BANJARNEGARA'!$B$3:$B$300,8)=MID(A189,13,8)))</f>
        <v>3281</v>
      </c>
      <c r="G192" s="33">
        <f t="array" ref="G192:G202">F192:F202/$H$192:$H$202*100</f>
        <v>50.091603053435122</v>
      </c>
      <c r="H192" s="29">
        <f t="array" ref="H192:H202">_xlfn._xlws.FILTER('AGR_JK_3304_KAB. BANJARNEGARA'!$F$3:$F$300,(LEN('AGR_JK_3304_KAB. BANJARNEGARA'!$B$3:$B$300)=13)*(LEFT('AGR_JK_3304_KAB. BANJARNEGARA'!$B$3:$B$300,8)=MID(A189,13,8)))</f>
        <v>6550</v>
      </c>
      <c r="I192" s="34">
        <f t="array" ref="I192:I202">H192:H202/$H$192:$H$202*100</f>
        <v>100</v>
      </c>
    </row>
    <row r="193" spans="1:9" ht="15" customHeight="1" x14ac:dyDescent="0.25">
      <c r="A193" s="42">
        <v>148</v>
      </c>
      <c r="B193" s="42" t="str">
        <v>2002</v>
      </c>
      <c r="C193" s="43" t="str">
        <v>SITUWANGI</v>
      </c>
      <c r="D193" s="50">
        <v>3465</v>
      </c>
      <c r="E193" s="33">
        <v>51.956815114709855</v>
      </c>
      <c r="F193" s="50">
        <v>3204</v>
      </c>
      <c r="G193" s="33">
        <v>48.043184885290145</v>
      </c>
      <c r="H193" s="29">
        <v>6669</v>
      </c>
      <c r="I193" s="34">
        <v>100</v>
      </c>
    </row>
    <row r="194" spans="1:9" ht="15" customHeight="1" x14ac:dyDescent="0.25">
      <c r="A194" s="42">
        <v>149</v>
      </c>
      <c r="B194" s="42" t="str">
        <v>2003</v>
      </c>
      <c r="C194" s="43" t="str">
        <v>GELANG</v>
      </c>
      <c r="D194" s="50">
        <v>2471</v>
      </c>
      <c r="E194" s="33">
        <v>50.500715307582254</v>
      </c>
      <c r="F194" s="50">
        <v>2422</v>
      </c>
      <c r="G194" s="33">
        <v>49.499284692417739</v>
      </c>
      <c r="H194" s="29">
        <v>4893</v>
      </c>
      <c r="I194" s="34">
        <v>100</v>
      </c>
    </row>
    <row r="195" spans="1:9" ht="15" customHeight="1" x14ac:dyDescent="0.25">
      <c r="A195" s="42">
        <v>150</v>
      </c>
      <c r="B195" s="42" t="str">
        <v>2004</v>
      </c>
      <c r="C195" s="43" t="str">
        <v>RAKIT</v>
      </c>
      <c r="D195" s="50">
        <v>2512</v>
      </c>
      <c r="E195" s="33">
        <v>51.056910569105696</v>
      </c>
      <c r="F195" s="50">
        <v>2408</v>
      </c>
      <c r="G195" s="33">
        <v>48.943089430894311</v>
      </c>
      <c r="H195" s="29">
        <v>4920</v>
      </c>
      <c r="I195" s="34">
        <v>100</v>
      </c>
    </row>
    <row r="196" spans="1:9" ht="15" customHeight="1" x14ac:dyDescent="0.25">
      <c r="A196" s="42">
        <v>151</v>
      </c>
      <c r="B196" s="42" t="str">
        <v>2005</v>
      </c>
      <c r="C196" s="43" t="str">
        <v>ADIPASIR</v>
      </c>
      <c r="D196" s="51">
        <v>3291</v>
      </c>
      <c r="E196" s="33">
        <v>49.916578188988318</v>
      </c>
      <c r="F196" s="51">
        <v>3302</v>
      </c>
      <c r="G196" s="33">
        <v>50.083421811011675</v>
      </c>
      <c r="H196" s="29">
        <v>6593</v>
      </c>
      <c r="I196" s="34">
        <v>100</v>
      </c>
    </row>
    <row r="197" spans="1:9" ht="15" customHeight="1" x14ac:dyDescent="0.25">
      <c r="A197" s="42">
        <v>152</v>
      </c>
      <c r="B197" s="42" t="str">
        <v>2006</v>
      </c>
      <c r="C197" s="43" t="str">
        <v>BANDINGAN</v>
      </c>
      <c r="D197" s="50">
        <v>2471</v>
      </c>
      <c r="E197" s="33">
        <v>49.969666329625881</v>
      </c>
      <c r="F197" s="50">
        <v>2474</v>
      </c>
      <c r="G197" s="33">
        <v>50.030333670374119</v>
      </c>
      <c r="H197" s="29">
        <v>4945</v>
      </c>
      <c r="I197" s="34">
        <v>100</v>
      </c>
    </row>
    <row r="198" spans="1:9" ht="15" customHeight="1" x14ac:dyDescent="0.25">
      <c r="A198" s="42">
        <v>153</v>
      </c>
      <c r="B198" s="42" t="str">
        <v>2007</v>
      </c>
      <c r="C198" s="43" t="str">
        <v>KINCANG</v>
      </c>
      <c r="D198" s="51">
        <v>2306</v>
      </c>
      <c r="E198" s="33">
        <v>49.82713915298185</v>
      </c>
      <c r="F198" s="51">
        <v>2322</v>
      </c>
      <c r="G198" s="33">
        <v>50.17286084701815</v>
      </c>
      <c r="H198" s="29">
        <v>4628</v>
      </c>
      <c r="I198" s="34">
        <v>100</v>
      </c>
    </row>
    <row r="199" spans="1:9" ht="15" customHeight="1" x14ac:dyDescent="0.25">
      <c r="A199" s="42">
        <v>154</v>
      </c>
      <c r="B199" s="42" t="str">
        <v>2008</v>
      </c>
      <c r="C199" s="43" t="str">
        <v>BADAMITA</v>
      </c>
      <c r="D199" s="51">
        <v>2718</v>
      </c>
      <c r="E199" s="33">
        <v>50.055248618784532</v>
      </c>
      <c r="F199" s="51">
        <v>2712</v>
      </c>
      <c r="G199" s="33">
        <v>49.944751381215468</v>
      </c>
      <c r="H199" s="29">
        <v>5430</v>
      </c>
      <c r="I199" s="34">
        <v>100</v>
      </c>
    </row>
    <row r="200" spans="1:9" ht="15" customHeight="1" x14ac:dyDescent="0.25">
      <c r="A200" s="42">
        <v>155</v>
      </c>
      <c r="B200" s="42" t="str">
        <v>2009</v>
      </c>
      <c r="C200" s="43" t="str">
        <v>TANJUNGANOM</v>
      </c>
      <c r="D200" s="50">
        <v>1858</v>
      </c>
      <c r="E200" s="33">
        <v>51.156387665198231</v>
      </c>
      <c r="F200" s="50">
        <v>1774</v>
      </c>
      <c r="G200" s="33">
        <v>48.843612334801762</v>
      </c>
      <c r="H200" s="29">
        <v>3632</v>
      </c>
      <c r="I200" s="34">
        <v>100</v>
      </c>
    </row>
    <row r="201" spans="1:9" ht="15" customHeight="1" x14ac:dyDescent="0.25">
      <c r="A201" s="42">
        <v>156</v>
      </c>
      <c r="B201" s="42" t="str">
        <v>2010</v>
      </c>
      <c r="C201" s="43" t="str">
        <v>LUWUNG</v>
      </c>
      <c r="D201" s="51">
        <v>1063</v>
      </c>
      <c r="E201" s="33">
        <v>49.557109557109555</v>
      </c>
      <c r="F201" s="51">
        <v>1082</v>
      </c>
      <c r="G201" s="33">
        <v>50.442890442890445</v>
      </c>
      <c r="H201" s="29">
        <v>2145</v>
      </c>
      <c r="I201" s="34">
        <v>100</v>
      </c>
    </row>
    <row r="202" spans="1:9" ht="15" customHeight="1" x14ac:dyDescent="0.25">
      <c r="A202" s="42">
        <v>157</v>
      </c>
      <c r="B202" s="42" t="str">
        <v>2011</v>
      </c>
      <c r="C202" s="43" t="str">
        <v>LENGKONG</v>
      </c>
      <c r="D202" s="50">
        <v>3497</v>
      </c>
      <c r="E202" s="33">
        <v>51.021301429821996</v>
      </c>
      <c r="F202" s="50">
        <v>3357</v>
      </c>
      <c r="G202" s="33">
        <v>48.978698570177997</v>
      </c>
      <c r="H202" s="29">
        <v>6854</v>
      </c>
      <c r="I202" s="34">
        <v>100</v>
      </c>
    </row>
    <row r="203" spans="1:9" ht="15" customHeight="1" x14ac:dyDescent="0.25">
      <c r="A203" s="78" t="s">
        <v>577</v>
      </c>
      <c r="B203" s="78"/>
      <c r="C203" s="78"/>
      <c r="D203" s="46">
        <f>SUM(D192:D202)</f>
        <v>28921</v>
      </c>
      <c r="E203" s="47">
        <f>D203/$H$203*100</f>
        <v>50.509090274018057</v>
      </c>
      <c r="F203" s="46">
        <f>SUM(F192:F202)</f>
        <v>28338</v>
      </c>
      <c r="G203" s="47">
        <f>F203/$H$203*100</f>
        <v>49.490909725981943</v>
      </c>
      <c r="H203" s="46">
        <f>SUM(H192:H202)</f>
        <v>57259</v>
      </c>
      <c r="I203" s="48">
        <f>H203/$H$203*100</f>
        <v>100</v>
      </c>
    </row>
    <row r="204" spans="1:9" ht="15" customHeight="1" x14ac:dyDescent="0.25">
      <c r="A204" s="86" t="s">
        <v>601</v>
      </c>
      <c r="B204" s="86"/>
      <c r="C204" s="86"/>
      <c r="D204" s="86"/>
      <c r="E204" s="86"/>
      <c r="F204" s="86"/>
      <c r="G204" s="86"/>
      <c r="H204" s="86"/>
      <c r="I204" s="86"/>
    </row>
    <row r="205" spans="1:9" ht="15" customHeight="1" x14ac:dyDescent="0.25">
      <c r="A205" s="83" t="s">
        <v>573</v>
      </c>
      <c r="B205" s="83" t="s">
        <v>589</v>
      </c>
      <c r="C205" s="83"/>
      <c r="D205" s="84" t="s">
        <v>575</v>
      </c>
      <c r="E205" s="84"/>
      <c r="F205" s="84" t="s">
        <v>576</v>
      </c>
      <c r="G205" s="84"/>
      <c r="H205" s="85" t="s">
        <v>577</v>
      </c>
      <c r="I205" s="85"/>
    </row>
    <row r="206" spans="1:9" ht="15" customHeight="1" x14ac:dyDescent="0.25">
      <c r="A206" s="83"/>
      <c r="B206" s="39" t="s">
        <v>578</v>
      </c>
      <c r="C206" s="39" t="s">
        <v>579</v>
      </c>
      <c r="D206" s="40" t="s">
        <v>577</v>
      </c>
      <c r="E206" s="40" t="s">
        <v>580</v>
      </c>
      <c r="F206" s="40" t="s">
        <v>577</v>
      </c>
      <c r="G206" s="40" t="s">
        <v>580</v>
      </c>
      <c r="H206" s="41" t="s">
        <v>590</v>
      </c>
      <c r="I206" s="41" t="s">
        <v>580</v>
      </c>
    </row>
    <row r="207" spans="1:9" ht="15" customHeight="1" x14ac:dyDescent="0.25">
      <c r="A207" s="42">
        <v>158</v>
      </c>
      <c r="B207" s="42" t="str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43" t="str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7">
        <v>2638</v>
      </c>
      <c r="E207" s="33">
        <f t="array" ref="E207:E223">D207:D223/$H$207:$H$223*100</f>
        <v>50.604258584308461</v>
      </c>
      <c r="F207" s="27">
        <f t="array" ref="F207:F223">_xlfn._xlws.FILTER('AGR_JK_3304_KAB. BANJARNEGARA'!$E$3:$E$300,(LEN('AGR_JK_3304_KAB. BANJARNEGARA'!$B$3:$B$300)=13)*(LEFT('AGR_JK_3304_KAB. BANJARNEGARA'!$B$3:$B$300,8)=MID(A204,13,8)))</f>
        <v>2575</v>
      </c>
      <c r="G207" s="33">
        <f t="array" ref="G207:G223">F207:F223/$H$207:$H$223*100</f>
        <v>49.395741415691539</v>
      </c>
      <c r="H207" s="29">
        <f t="array" ref="H207:H223">_xlfn._xlws.FILTER('AGR_JK_3304_KAB. BANJARNEGARA'!$F$3:$F$300,(LEN('AGR_JK_3304_KAB. BANJARNEGARA'!$B$3:$B$300)=13)*(LEFT('AGR_JK_3304_KAB. BANJARNEGARA'!$B$3:$B$300,8)=MID(A204,13,8)))</f>
        <v>5213</v>
      </c>
      <c r="I207" s="34">
        <f t="array" ref="I207:I223">H207:H223/$H$207:$H$223*100</f>
        <v>100</v>
      </c>
    </row>
    <row r="208" spans="1:9" ht="15" customHeight="1" x14ac:dyDescent="0.25">
      <c r="A208" s="42">
        <v>159</v>
      </c>
      <c r="B208" s="42" t="str">
        <v>2002</v>
      </c>
      <c r="C208" s="43" t="str">
        <v>DANAKERTA</v>
      </c>
      <c r="D208" s="50">
        <v>3297</v>
      </c>
      <c r="E208" s="33">
        <v>50.474586650336803</v>
      </c>
      <c r="F208" s="50">
        <v>3235</v>
      </c>
      <c r="G208" s="33">
        <v>49.525413349663197</v>
      </c>
      <c r="H208" s="29">
        <v>6532</v>
      </c>
      <c r="I208" s="34">
        <v>100</v>
      </c>
    </row>
    <row r="209" spans="1:9" ht="15" customHeight="1" x14ac:dyDescent="0.25">
      <c r="A209" s="42">
        <v>160</v>
      </c>
      <c r="B209" s="42" t="str">
        <v>2003</v>
      </c>
      <c r="C209" s="43" t="str">
        <v>KLAPA</v>
      </c>
      <c r="D209" s="50">
        <v>1934</v>
      </c>
      <c r="E209" s="33">
        <v>51.477242480702692</v>
      </c>
      <c r="F209" s="50">
        <v>1823</v>
      </c>
      <c r="G209" s="33">
        <v>48.522757519297308</v>
      </c>
      <c r="H209" s="29">
        <v>3757</v>
      </c>
      <c r="I209" s="34">
        <v>100</v>
      </c>
    </row>
    <row r="210" spans="1:9" ht="15" customHeight="1" x14ac:dyDescent="0.25">
      <c r="A210" s="42">
        <v>161</v>
      </c>
      <c r="B210" s="42" t="str">
        <v>2004</v>
      </c>
      <c r="C210" s="43" t="str">
        <v>KECEPIT</v>
      </c>
      <c r="D210" s="50">
        <v>3239</v>
      </c>
      <c r="E210" s="33">
        <v>51.217583807716636</v>
      </c>
      <c r="F210" s="50">
        <v>3085</v>
      </c>
      <c r="G210" s="33">
        <v>48.782416192283371</v>
      </c>
      <c r="H210" s="29">
        <v>6324</v>
      </c>
      <c r="I210" s="34">
        <v>100</v>
      </c>
    </row>
    <row r="211" spans="1:9" ht="15" customHeight="1" x14ac:dyDescent="0.25">
      <c r="A211" s="42">
        <v>162</v>
      </c>
      <c r="B211" s="42" t="str">
        <v>2005</v>
      </c>
      <c r="C211" s="43" t="str">
        <v>KARANGSARI</v>
      </c>
      <c r="D211" s="51">
        <v>3021</v>
      </c>
      <c r="E211" s="33">
        <v>51.22943869764287</v>
      </c>
      <c r="F211" s="51">
        <v>2876</v>
      </c>
      <c r="G211" s="33">
        <v>48.77056130235713</v>
      </c>
      <c r="H211" s="29">
        <v>5897</v>
      </c>
      <c r="I211" s="34">
        <v>100</v>
      </c>
    </row>
    <row r="212" spans="1:9" ht="15" customHeight="1" x14ac:dyDescent="0.25">
      <c r="A212" s="42">
        <v>163</v>
      </c>
      <c r="B212" s="42" t="str">
        <v>2006</v>
      </c>
      <c r="C212" s="43" t="str">
        <v>TRIBUANA</v>
      </c>
      <c r="D212" s="50">
        <v>2140</v>
      </c>
      <c r="E212" s="33">
        <v>50.964515360800192</v>
      </c>
      <c r="F212" s="50">
        <v>2059</v>
      </c>
      <c r="G212" s="33">
        <v>49.035484639199808</v>
      </c>
      <c r="H212" s="29">
        <v>4199</v>
      </c>
      <c r="I212" s="34">
        <v>100</v>
      </c>
    </row>
    <row r="213" spans="1:9" ht="15" customHeight="1" x14ac:dyDescent="0.25">
      <c r="A213" s="42">
        <v>164</v>
      </c>
      <c r="B213" s="42" t="str">
        <v>2007</v>
      </c>
      <c r="C213" s="43" t="str">
        <v>SAWANGAN</v>
      </c>
      <c r="D213" s="51">
        <v>1878</v>
      </c>
      <c r="E213" s="33">
        <v>51.778329197684037</v>
      </c>
      <c r="F213" s="51">
        <v>1749</v>
      </c>
      <c r="G213" s="33">
        <v>48.221670802315963</v>
      </c>
      <c r="H213" s="29">
        <v>3627</v>
      </c>
      <c r="I213" s="34">
        <v>100</v>
      </c>
    </row>
    <row r="214" spans="1:9" ht="15" customHeight="1" x14ac:dyDescent="0.25">
      <c r="A214" s="42">
        <v>165</v>
      </c>
      <c r="B214" s="42" t="str">
        <v>2008</v>
      </c>
      <c r="C214" s="43" t="str">
        <v>SIDARATA</v>
      </c>
      <c r="D214" s="51">
        <v>2599</v>
      </c>
      <c r="E214" s="33">
        <v>51.353487453072511</v>
      </c>
      <c r="F214" s="51">
        <v>2462</v>
      </c>
      <c r="G214" s="33">
        <v>48.646512546927482</v>
      </c>
      <c r="H214" s="29">
        <v>5061</v>
      </c>
      <c r="I214" s="34">
        <v>100</v>
      </c>
    </row>
    <row r="215" spans="1:9" ht="15" customHeight="1" x14ac:dyDescent="0.25">
      <c r="A215" s="42">
        <v>166</v>
      </c>
      <c r="B215" s="42" t="str">
        <v>2009</v>
      </c>
      <c r="C215" s="43" t="str">
        <v>BADAKARYA</v>
      </c>
      <c r="D215" s="50">
        <v>2811</v>
      </c>
      <c r="E215" s="33">
        <v>51.136983809350554</v>
      </c>
      <c r="F215" s="50">
        <v>2686</v>
      </c>
      <c r="G215" s="33">
        <v>48.863016190649446</v>
      </c>
      <c r="H215" s="29">
        <v>5497</v>
      </c>
      <c r="I215" s="34">
        <v>100</v>
      </c>
    </row>
    <row r="216" spans="1:9" ht="15" customHeight="1" x14ac:dyDescent="0.25">
      <c r="A216" s="42">
        <v>167</v>
      </c>
      <c r="B216" s="42" t="str">
        <v>2010</v>
      </c>
      <c r="C216" s="43" t="str">
        <v>PUNGGELAN</v>
      </c>
      <c r="D216" s="51">
        <v>4347</v>
      </c>
      <c r="E216" s="33">
        <v>50.593575418994419</v>
      </c>
      <c r="F216" s="51">
        <v>4245</v>
      </c>
      <c r="G216" s="33">
        <v>49.406424581005588</v>
      </c>
      <c r="H216" s="29">
        <v>8592</v>
      </c>
      <c r="I216" s="34">
        <v>100</v>
      </c>
    </row>
    <row r="217" spans="1:9" ht="15" customHeight="1" x14ac:dyDescent="0.25">
      <c r="A217" s="42">
        <v>168</v>
      </c>
      <c r="B217" s="42" t="str">
        <v>2011</v>
      </c>
      <c r="C217" s="43" t="str">
        <v>JEMBANGAN</v>
      </c>
      <c r="D217" s="50">
        <v>3394</v>
      </c>
      <c r="E217" s="33">
        <v>51.38531415594246</v>
      </c>
      <c r="F217" s="50">
        <v>3211</v>
      </c>
      <c r="G217" s="33">
        <v>48.614685844057533</v>
      </c>
      <c r="H217" s="29">
        <v>6605</v>
      </c>
      <c r="I217" s="34">
        <v>100</v>
      </c>
    </row>
    <row r="218" spans="1:9" ht="15" customHeight="1" x14ac:dyDescent="0.25">
      <c r="A218" s="42">
        <v>169</v>
      </c>
      <c r="B218" s="42" t="str">
        <v>2012</v>
      </c>
      <c r="C218" s="43" t="str">
        <v>PURWASANA</v>
      </c>
      <c r="D218" s="50">
        <v>2739</v>
      </c>
      <c r="E218" s="33">
        <v>51.698754246885613</v>
      </c>
      <c r="F218" s="50">
        <v>2559</v>
      </c>
      <c r="G218" s="33">
        <v>48.30124575311438</v>
      </c>
      <c r="H218" s="29">
        <v>5298</v>
      </c>
      <c r="I218" s="34">
        <v>100</v>
      </c>
    </row>
    <row r="219" spans="1:9" ht="15" customHeight="1" x14ac:dyDescent="0.25">
      <c r="A219" s="42">
        <v>170</v>
      </c>
      <c r="B219" s="42" t="str">
        <v>2013</v>
      </c>
      <c r="C219" s="43" t="str">
        <v>PETUGURAN</v>
      </c>
      <c r="D219" s="50">
        <v>3782</v>
      </c>
      <c r="E219" s="33">
        <v>50.547981823041965</v>
      </c>
      <c r="F219" s="50">
        <v>3700</v>
      </c>
      <c r="G219" s="33">
        <v>49.452018176958035</v>
      </c>
      <c r="H219" s="29">
        <v>7482</v>
      </c>
      <c r="I219" s="34">
        <v>100</v>
      </c>
    </row>
    <row r="220" spans="1:9" ht="15" customHeight="1" x14ac:dyDescent="0.25">
      <c r="A220" s="42">
        <v>171</v>
      </c>
      <c r="B220" s="42" t="str">
        <v>2014</v>
      </c>
      <c r="C220" s="43" t="str">
        <v>BONDOLHARJO</v>
      </c>
      <c r="D220" s="50">
        <v>3203</v>
      </c>
      <c r="E220" s="33">
        <v>51.904067412088807</v>
      </c>
      <c r="F220" s="50">
        <v>2968</v>
      </c>
      <c r="G220" s="33">
        <v>48.0959325879112</v>
      </c>
      <c r="H220" s="29">
        <v>6171</v>
      </c>
      <c r="I220" s="34">
        <v>100</v>
      </c>
    </row>
    <row r="221" spans="1:9" ht="15" customHeight="1" x14ac:dyDescent="0.25">
      <c r="A221" s="42">
        <v>172</v>
      </c>
      <c r="B221" s="42" t="str">
        <v>2015</v>
      </c>
      <c r="C221" s="43" t="str">
        <v>TANJUNGTIRTA</v>
      </c>
      <c r="D221" s="51">
        <v>2570</v>
      </c>
      <c r="E221" s="33">
        <v>51.205419406256226</v>
      </c>
      <c r="F221" s="51">
        <v>2449</v>
      </c>
      <c r="G221" s="33">
        <v>48.794580593743774</v>
      </c>
      <c r="H221" s="29">
        <v>5019</v>
      </c>
      <c r="I221" s="34">
        <v>100</v>
      </c>
    </row>
    <row r="222" spans="1:9" ht="15" customHeight="1" x14ac:dyDescent="0.25">
      <c r="A222" s="42">
        <v>173</v>
      </c>
      <c r="B222" s="42" t="str">
        <v>2016</v>
      </c>
      <c r="C222" s="43" t="str">
        <v>TLAGA</v>
      </c>
      <c r="D222" s="27">
        <v>2842</v>
      </c>
      <c r="E222" s="53">
        <v>51.918158567774938</v>
      </c>
      <c r="F222" s="27">
        <v>2632</v>
      </c>
      <c r="G222" s="53">
        <v>48.081841432225062</v>
      </c>
      <c r="H222" s="29">
        <v>5474</v>
      </c>
      <c r="I222" s="54">
        <v>100</v>
      </c>
    </row>
    <row r="223" spans="1:9" ht="15" customHeight="1" x14ac:dyDescent="0.25">
      <c r="A223" s="42">
        <v>174</v>
      </c>
      <c r="B223" s="42" t="str">
        <v>2017</v>
      </c>
      <c r="C223" s="43" t="str">
        <v>MLAYA</v>
      </c>
      <c r="D223" s="45">
        <v>1460</v>
      </c>
      <c r="E223" s="53">
        <v>53.148889697852198</v>
      </c>
      <c r="F223" s="45">
        <v>1287</v>
      </c>
      <c r="G223" s="53">
        <v>46.851110302147795</v>
      </c>
      <c r="H223" s="29">
        <v>2747</v>
      </c>
      <c r="I223" s="54">
        <v>100</v>
      </c>
    </row>
    <row r="224" spans="1:9" ht="15" customHeight="1" x14ac:dyDescent="0.25">
      <c r="A224" s="78" t="s">
        <v>577</v>
      </c>
      <c r="B224" s="78"/>
      <c r="C224" s="78"/>
      <c r="D224" s="46">
        <f>SUM(D207:D223)</f>
        <v>47894</v>
      </c>
      <c r="E224" s="47">
        <f>D224/$H$224*100</f>
        <v>51.226268784426978</v>
      </c>
      <c r="F224" s="46">
        <f>SUM(F207:F223)</f>
        <v>45601</v>
      </c>
      <c r="G224" s="47">
        <f>F224/$H$224*100</f>
        <v>48.773731215573022</v>
      </c>
      <c r="H224" s="46">
        <f>SUM(H207:H223)</f>
        <v>93495</v>
      </c>
      <c r="I224" s="48">
        <f>H224/$H$224*100</f>
        <v>100</v>
      </c>
    </row>
    <row r="225" spans="1:9" ht="15" customHeight="1" x14ac:dyDescent="0.25">
      <c r="A225" s="86" t="s">
        <v>602</v>
      </c>
      <c r="B225" s="86"/>
      <c r="C225" s="86"/>
      <c r="D225" s="86"/>
      <c r="E225" s="86"/>
      <c r="F225" s="86"/>
      <c r="G225" s="86"/>
      <c r="H225" s="86"/>
      <c r="I225" s="86"/>
    </row>
    <row r="226" spans="1:9" ht="15" customHeight="1" x14ac:dyDescent="0.25">
      <c r="A226" s="83" t="s">
        <v>573</v>
      </c>
      <c r="B226" s="83" t="s">
        <v>589</v>
      </c>
      <c r="C226" s="83"/>
      <c r="D226" s="84" t="s">
        <v>575</v>
      </c>
      <c r="E226" s="84"/>
      <c r="F226" s="84" t="s">
        <v>576</v>
      </c>
      <c r="G226" s="84"/>
      <c r="H226" s="85" t="s">
        <v>577</v>
      </c>
      <c r="I226" s="85"/>
    </row>
    <row r="227" spans="1:9" ht="15" customHeight="1" x14ac:dyDescent="0.25">
      <c r="A227" s="83"/>
      <c r="B227" s="39" t="s">
        <v>578</v>
      </c>
      <c r="C227" s="39" t="s">
        <v>579</v>
      </c>
      <c r="D227" s="40" t="s">
        <v>577</v>
      </c>
      <c r="E227" s="40" t="s">
        <v>580</v>
      </c>
      <c r="F227" s="40" t="s">
        <v>577</v>
      </c>
      <c r="G227" s="40" t="s">
        <v>580</v>
      </c>
      <c r="H227" s="41" t="s">
        <v>590</v>
      </c>
      <c r="I227" s="41" t="s">
        <v>580</v>
      </c>
    </row>
    <row r="228" spans="1:9" ht="15" customHeight="1" x14ac:dyDescent="0.25">
      <c r="A228" s="42">
        <v>175</v>
      </c>
      <c r="B228" s="42" t="str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43" t="str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7">
        <v>790</v>
      </c>
      <c r="E228" s="33">
        <f t="array" ref="E228:E240">D228:D240/$H$228:$H$240*100</f>
        <v>52.38726790450928</v>
      </c>
      <c r="F228" s="27">
        <f t="array" ref="F228:F240">_xlfn._xlws.FILTER('AGR_JK_3304_KAB. BANJARNEGARA'!$E$3:$E$300,(LEN('AGR_JK_3304_KAB. BANJARNEGARA'!$B$3:$B$300)=13)*(LEFT('AGR_JK_3304_KAB. BANJARNEGARA'!$B$3:$B$300,8)=MID(A225,13,8)))</f>
        <v>718</v>
      </c>
      <c r="G228" s="33">
        <f t="array" ref="G228:G240">F228:F240/$H$228:$H$240*100</f>
        <v>47.61273209549072</v>
      </c>
      <c r="H228" s="29">
        <f t="array" ref="H228:H240">_xlfn._xlws.FILTER('AGR_JK_3304_KAB. BANJARNEGARA'!$F$3:$F$300,(LEN('AGR_JK_3304_KAB. BANJARNEGARA'!$B$3:$B$300)=13)*(LEFT('AGR_JK_3304_KAB. BANJARNEGARA'!$B$3:$B$300,8)=MID(A225,13,8)))</f>
        <v>1508</v>
      </c>
      <c r="I228" s="34">
        <f t="array" ref="I228:I240">H228:H240/$H$228:$H$240*100</f>
        <v>100</v>
      </c>
    </row>
    <row r="229" spans="1:9" ht="15" customHeight="1" x14ac:dyDescent="0.25">
      <c r="A229" s="42">
        <v>176</v>
      </c>
      <c r="B229" s="42" t="str">
        <v>2002</v>
      </c>
      <c r="C229" s="43" t="str">
        <v>GUMELAR</v>
      </c>
      <c r="D229" s="50">
        <v>531</v>
      </c>
      <c r="E229" s="33">
        <v>51.603498542274053</v>
      </c>
      <c r="F229" s="50">
        <v>498</v>
      </c>
      <c r="G229" s="33">
        <v>48.396501457725947</v>
      </c>
      <c r="H229" s="29">
        <v>1029</v>
      </c>
      <c r="I229" s="34">
        <v>100</v>
      </c>
    </row>
    <row r="230" spans="1:9" ht="15" customHeight="1" x14ac:dyDescent="0.25">
      <c r="A230" s="42">
        <v>177</v>
      </c>
      <c r="B230" s="42" t="str">
        <v>2003</v>
      </c>
      <c r="C230" s="43" t="str">
        <v>PURWODADI</v>
      </c>
      <c r="D230" s="50">
        <v>1384</v>
      </c>
      <c r="E230" s="33">
        <v>52.108433734939766</v>
      </c>
      <c r="F230" s="50">
        <v>1272</v>
      </c>
      <c r="G230" s="33">
        <v>47.891566265060241</v>
      </c>
      <c r="H230" s="29">
        <v>2656</v>
      </c>
      <c r="I230" s="34">
        <v>100</v>
      </c>
    </row>
    <row r="231" spans="1:9" ht="15" customHeight="1" x14ac:dyDescent="0.25">
      <c r="A231" s="42">
        <v>178</v>
      </c>
      <c r="B231" s="42" t="str">
        <v>2004</v>
      </c>
      <c r="C231" s="43" t="str">
        <v>SAMPANG</v>
      </c>
      <c r="D231" s="50">
        <v>1318</v>
      </c>
      <c r="E231" s="33">
        <v>51.787819253438116</v>
      </c>
      <c r="F231" s="50">
        <v>1227</v>
      </c>
      <c r="G231" s="33">
        <v>48.212180746561884</v>
      </c>
      <c r="H231" s="29">
        <v>2545</v>
      </c>
      <c r="I231" s="34">
        <v>100</v>
      </c>
    </row>
    <row r="232" spans="1:9" ht="15" customHeight="1" x14ac:dyDescent="0.25">
      <c r="A232" s="42">
        <v>179</v>
      </c>
      <c r="B232" s="42" t="str">
        <v>2005</v>
      </c>
      <c r="C232" s="43" t="str">
        <v>SLATRI</v>
      </c>
      <c r="D232" s="51">
        <v>1319</v>
      </c>
      <c r="E232" s="33">
        <v>52.591706539074956</v>
      </c>
      <c r="F232" s="51">
        <v>1189</v>
      </c>
      <c r="G232" s="33">
        <v>47.408293460925037</v>
      </c>
      <c r="H232" s="29">
        <v>2508</v>
      </c>
      <c r="I232" s="34">
        <v>100</v>
      </c>
    </row>
    <row r="233" spans="1:9" ht="15" customHeight="1" x14ac:dyDescent="0.25">
      <c r="A233" s="42">
        <v>180</v>
      </c>
      <c r="B233" s="42" t="str">
        <v>2006</v>
      </c>
      <c r="C233" s="43" t="str">
        <v>PAGERPELAH</v>
      </c>
      <c r="D233" s="50">
        <v>1058</v>
      </c>
      <c r="E233" s="33">
        <v>51.55945419103314</v>
      </c>
      <c r="F233" s="50">
        <v>994</v>
      </c>
      <c r="G233" s="33">
        <v>48.44054580896686</v>
      </c>
      <c r="H233" s="29">
        <v>2052</v>
      </c>
      <c r="I233" s="34">
        <v>100</v>
      </c>
    </row>
    <row r="234" spans="1:9" ht="15" customHeight="1" x14ac:dyDescent="0.25">
      <c r="A234" s="42">
        <v>181</v>
      </c>
      <c r="B234" s="42" t="str">
        <v>2007</v>
      </c>
      <c r="C234" s="43" t="str">
        <v>PASURUHAN</v>
      </c>
      <c r="D234" s="51">
        <v>763</v>
      </c>
      <c r="E234" s="33">
        <v>51.658767772511851</v>
      </c>
      <c r="F234" s="51">
        <v>714</v>
      </c>
      <c r="G234" s="33">
        <v>48.341232227488149</v>
      </c>
      <c r="H234" s="29">
        <v>1477</v>
      </c>
      <c r="I234" s="34">
        <v>100</v>
      </c>
    </row>
    <row r="235" spans="1:9" ht="15" customHeight="1" x14ac:dyDescent="0.25">
      <c r="A235" s="42">
        <v>182</v>
      </c>
      <c r="B235" s="42" t="str">
        <v>2008</v>
      </c>
      <c r="C235" s="43" t="str">
        <v>KARANGGONDANG</v>
      </c>
      <c r="D235" s="51">
        <v>1398</v>
      </c>
      <c r="E235" s="33">
        <v>51.777777777777779</v>
      </c>
      <c r="F235" s="51">
        <v>1302</v>
      </c>
      <c r="G235" s="33">
        <v>48.222222222222221</v>
      </c>
      <c r="H235" s="29">
        <v>2700</v>
      </c>
      <c r="I235" s="34">
        <v>100</v>
      </c>
    </row>
    <row r="236" spans="1:9" ht="15" customHeight="1" x14ac:dyDescent="0.25">
      <c r="A236" s="42">
        <v>183</v>
      </c>
      <c r="B236" s="42" t="str">
        <v>2009</v>
      </c>
      <c r="C236" s="43" t="str">
        <v>JLEGONG</v>
      </c>
      <c r="D236" s="50">
        <v>536</v>
      </c>
      <c r="E236" s="33">
        <v>52.600588812561334</v>
      </c>
      <c r="F236" s="50">
        <v>483</v>
      </c>
      <c r="G236" s="33">
        <v>47.399411187438666</v>
      </c>
      <c r="H236" s="29">
        <v>1019</v>
      </c>
      <c r="I236" s="34">
        <v>100</v>
      </c>
    </row>
    <row r="237" spans="1:9" ht="15" customHeight="1" x14ac:dyDescent="0.25">
      <c r="A237" s="42">
        <v>184</v>
      </c>
      <c r="B237" s="42" t="str">
        <v>2010</v>
      </c>
      <c r="C237" s="43" t="str">
        <v>AMBAL</v>
      </c>
      <c r="D237" s="51">
        <v>1365</v>
      </c>
      <c r="E237" s="33">
        <v>51.724137931034484</v>
      </c>
      <c r="F237" s="51">
        <v>1274</v>
      </c>
      <c r="G237" s="33">
        <v>48.275862068965516</v>
      </c>
      <c r="H237" s="29">
        <v>2639</v>
      </c>
      <c r="I237" s="34">
        <v>100</v>
      </c>
    </row>
    <row r="238" spans="1:9" ht="15" customHeight="1" x14ac:dyDescent="0.25">
      <c r="A238" s="42">
        <v>185</v>
      </c>
      <c r="B238" s="42" t="str">
        <v>2011</v>
      </c>
      <c r="C238" s="43" t="str">
        <v>BINANGUN</v>
      </c>
      <c r="D238" s="50">
        <v>1595</v>
      </c>
      <c r="E238" s="33">
        <v>51.634833279378448</v>
      </c>
      <c r="F238" s="50">
        <v>1494</v>
      </c>
      <c r="G238" s="33">
        <v>48.365166720621559</v>
      </c>
      <c r="H238" s="29">
        <v>3089</v>
      </c>
      <c r="I238" s="34">
        <v>100</v>
      </c>
    </row>
    <row r="239" spans="1:9" ht="15" customHeight="1" x14ac:dyDescent="0.25">
      <c r="A239" s="42">
        <v>186</v>
      </c>
      <c r="B239" s="42" t="str">
        <v>2012</v>
      </c>
      <c r="C239" s="43" t="str">
        <v>KARANGKOBAR</v>
      </c>
      <c r="D239" s="50">
        <v>2838</v>
      </c>
      <c r="E239" s="33">
        <v>51.153568853640948</v>
      </c>
      <c r="F239" s="50">
        <v>2710</v>
      </c>
      <c r="G239" s="33">
        <v>48.846431146359052</v>
      </c>
      <c r="H239" s="29">
        <v>5548</v>
      </c>
      <c r="I239" s="34">
        <v>100</v>
      </c>
    </row>
    <row r="240" spans="1:9" ht="15" customHeight="1" x14ac:dyDescent="0.25">
      <c r="A240" s="42">
        <v>187</v>
      </c>
      <c r="B240" s="42" t="str">
        <v>2013</v>
      </c>
      <c r="C240" s="43" t="str">
        <v>LEKSANA</v>
      </c>
      <c r="D240" s="50">
        <v>2357</v>
      </c>
      <c r="E240" s="33">
        <v>50.940133996109793</v>
      </c>
      <c r="F240" s="50">
        <v>2270</v>
      </c>
      <c r="G240" s="33">
        <v>49.059866003890214</v>
      </c>
      <c r="H240" s="29">
        <v>4627</v>
      </c>
      <c r="I240" s="34">
        <v>100</v>
      </c>
    </row>
    <row r="241" spans="1:9" ht="15" customHeight="1" x14ac:dyDescent="0.25">
      <c r="A241" s="78" t="s">
        <v>577</v>
      </c>
      <c r="B241" s="78"/>
      <c r="C241" s="78"/>
      <c r="D241" s="46">
        <f>SUM(D228:D240)</f>
        <v>17252</v>
      </c>
      <c r="E241" s="47">
        <f>D241/$H$241*100</f>
        <v>51.657334491121951</v>
      </c>
      <c r="F241" s="46">
        <f>SUM(F228:F240)</f>
        <v>16145</v>
      </c>
      <c r="G241" s="47">
        <f>F241/$H$241*100</f>
        <v>48.342665508878042</v>
      </c>
      <c r="H241" s="46">
        <f>SUM(H228:H240)</f>
        <v>33397</v>
      </c>
      <c r="I241" s="48">
        <f>H241/$H$241*100</f>
        <v>100</v>
      </c>
    </row>
    <row r="242" spans="1:9" ht="15" customHeight="1" x14ac:dyDescent="0.25">
      <c r="A242" s="86" t="s">
        <v>603</v>
      </c>
      <c r="B242" s="86"/>
      <c r="C242" s="86"/>
      <c r="D242" s="86"/>
      <c r="E242" s="86"/>
      <c r="F242" s="86"/>
      <c r="G242" s="86"/>
      <c r="H242" s="86"/>
      <c r="I242" s="86"/>
    </row>
    <row r="243" spans="1:9" ht="15" customHeight="1" x14ac:dyDescent="0.25">
      <c r="A243" s="83" t="s">
        <v>573</v>
      </c>
      <c r="B243" s="83" t="s">
        <v>589</v>
      </c>
      <c r="C243" s="83"/>
      <c r="D243" s="84" t="s">
        <v>575</v>
      </c>
      <c r="E243" s="84"/>
      <c r="F243" s="84" t="s">
        <v>576</v>
      </c>
      <c r="G243" s="84"/>
      <c r="H243" s="85" t="s">
        <v>577</v>
      </c>
      <c r="I243" s="85"/>
    </row>
    <row r="244" spans="1:9" ht="15" customHeight="1" x14ac:dyDescent="0.25">
      <c r="A244" s="83"/>
      <c r="B244" s="39" t="s">
        <v>578</v>
      </c>
      <c r="C244" s="39" t="s">
        <v>579</v>
      </c>
      <c r="D244" s="40" t="s">
        <v>577</v>
      </c>
      <c r="E244" s="40" t="s">
        <v>580</v>
      </c>
      <c r="F244" s="40" t="s">
        <v>577</v>
      </c>
      <c r="G244" s="40" t="s">
        <v>580</v>
      </c>
      <c r="H244" s="41" t="s">
        <v>590</v>
      </c>
      <c r="I244" s="41" t="s">
        <v>580</v>
      </c>
    </row>
    <row r="245" spans="1:9" ht="15" customHeight="1" x14ac:dyDescent="0.25">
      <c r="A245" s="42">
        <v>188</v>
      </c>
      <c r="B245" s="42" t="str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43" t="str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7">
        <v>1067</v>
      </c>
      <c r="E245" s="33">
        <f t="array" ref="E245:E260">D245:D260/$H$245:$H$260*100</f>
        <v>51.471297636275928</v>
      </c>
      <c r="F245" s="27">
        <f t="array" ref="F245:F260">_xlfn._xlws.FILTER('AGR_JK_3304_KAB. BANJARNEGARA'!$E$3:$E$300,(LEN('AGR_JK_3304_KAB. BANJARNEGARA'!$B$3:$B$300)=13)*(LEFT('AGR_JK_3304_KAB. BANJARNEGARA'!$B$3:$B$300,8)=MID(A242,13,8)))</f>
        <v>1006</v>
      </c>
      <c r="G245" s="33">
        <f t="array" ref="G245:G260">F245:F260/$H$245:$H$260*100</f>
        <v>48.528702363724072</v>
      </c>
      <c r="H245" s="29">
        <f t="array" ref="H245:H260">_xlfn._xlws.FILTER('AGR_JK_3304_KAB. BANJARNEGARA'!$F$3:$F$300,(LEN('AGR_JK_3304_KAB. BANJARNEGARA'!$B$3:$B$300)=13)*(LEFT('AGR_JK_3304_KAB. BANJARNEGARA'!$B$3:$B$300,8)=MID(A242,13,8)))</f>
        <v>2073</v>
      </c>
      <c r="I245" s="34">
        <f t="array" ref="I245:I260">H245:H260/$H$245:$H$260*100</f>
        <v>100</v>
      </c>
    </row>
    <row r="246" spans="1:9" ht="15" customHeight="1" x14ac:dyDescent="0.25">
      <c r="A246" s="42">
        <v>189</v>
      </c>
      <c r="B246" s="42" t="str">
        <v>2002</v>
      </c>
      <c r="C246" s="43" t="str">
        <v>KARANGNANGKA</v>
      </c>
      <c r="D246" s="50">
        <v>1031</v>
      </c>
      <c r="E246" s="33">
        <v>52.898922524371471</v>
      </c>
      <c r="F246" s="50">
        <v>918</v>
      </c>
      <c r="G246" s="33">
        <v>47.101077475628529</v>
      </c>
      <c r="H246" s="29">
        <v>1949</v>
      </c>
      <c r="I246" s="34">
        <v>100</v>
      </c>
    </row>
    <row r="247" spans="1:9" ht="15" customHeight="1" x14ac:dyDescent="0.25">
      <c r="A247" s="42">
        <v>190</v>
      </c>
      <c r="B247" s="42" t="str">
        <v>2003</v>
      </c>
      <c r="C247" s="43" t="str">
        <v>ARIBAYA</v>
      </c>
      <c r="D247" s="50">
        <v>1228</v>
      </c>
      <c r="E247" s="33">
        <v>51.640033641715732</v>
      </c>
      <c r="F247" s="50">
        <v>1150</v>
      </c>
      <c r="G247" s="33">
        <v>48.359966358284275</v>
      </c>
      <c r="H247" s="29">
        <v>2378</v>
      </c>
      <c r="I247" s="34">
        <v>100</v>
      </c>
    </row>
    <row r="248" spans="1:9" ht="15" customHeight="1" x14ac:dyDescent="0.25">
      <c r="A248" s="42">
        <v>191</v>
      </c>
      <c r="B248" s="42" t="str">
        <v>2004</v>
      </c>
      <c r="C248" s="43" t="str">
        <v>NAGASARI</v>
      </c>
      <c r="D248" s="50">
        <v>946</v>
      </c>
      <c r="E248" s="33">
        <v>51.920965971459928</v>
      </c>
      <c r="F248" s="50">
        <v>876</v>
      </c>
      <c r="G248" s="33">
        <v>48.079034028540072</v>
      </c>
      <c r="H248" s="29">
        <v>1822</v>
      </c>
      <c r="I248" s="34">
        <v>100</v>
      </c>
    </row>
    <row r="249" spans="1:9" ht="15" customHeight="1" x14ac:dyDescent="0.25">
      <c r="A249" s="42">
        <v>192</v>
      </c>
      <c r="B249" s="42" t="str">
        <v>2005</v>
      </c>
      <c r="C249" s="43" t="str">
        <v>GUMINGSIR</v>
      </c>
      <c r="D249" s="51">
        <v>1080</v>
      </c>
      <c r="E249" s="33">
        <v>50.561797752808992</v>
      </c>
      <c r="F249" s="51">
        <v>1056</v>
      </c>
      <c r="G249" s="33">
        <v>49.438202247191008</v>
      </c>
      <c r="H249" s="29">
        <v>2136</v>
      </c>
      <c r="I249" s="34">
        <v>100</v>
      </c>
    </row>
    <row r="250" spans="1:9" ht="15" customHeight="1" x14ac:dyDescent="0.25">
      <c r="A250" s="42">
        <v>193</v>
      </c>
      <c r="B250" s="42" t="str">
        <v>2006</v>
      </c>
      <c r="C250" s="43" t="str">
        <v>SOKARAJA</v>
      </c>
      <c r="D250" s="50">
        <v>1198</v>
      </c>
      <c r="E250" s="33">
        <v>49.56557716177079</v>
      </c>
      <c r="F250" s="50">
        <v>1219</v>
      </c>
      <c r="G250" s="33">
        <v>50.43442283822921</v>
      </c>
      <c r="H250" s="29">
        <v>2417</v>
      </c>
      <c r="I250" s="34">
        <v>100</v>
      </c>
    </row>
    <row r="251" spans="1:9" ht="15" customHeight="1" x14ac:dyDescent="0.25">
      <c r="A251" s="42">
        <v>194</v>
      </c>
      <c r="B251" s="42" t="str">
        <v>2007</v>
      </c>
      <c r="C251" s="43" t="str">
        <v>KAYUARES</v>
      </c>
      <c r="D251" s="51">
        <v>1036</v>
      </c>
      <c r="E251" s="33">
        <v>52.695829094608335</v>
      </c>
      <c r="F251" s="51">
        <v>930</v>
      </c>
      <c r="G251" s="33">
        <v>47.304170905391658</v>
      </c>
      <c r="H251" s="29">
        <v>1966</v>
      </c>
      <c r="I251" s="34">
        <v>100</v>
      </c>
    </row>
    <row r="252" spans="1:9" ht="15" customHeight="1" x14ac:dyDescent="0.25">
      <c r="A252" s="42">
        <v>195</v>
      </c>
      <c r="B252" s="42" t="str">
        <v>2008</v>
      </c>
      <c r="C252" s="43" t="str">
        <v>METAWANA</v>
      </c>
      <c r="D252" s="51">
        <v>1069</v>
      </c>
      <c r="E252" s="33">
        <v>51.64251207729469</v>
      </c>
      <c r="F252" s="51">
        <v>1001</v>
      </c>
      <c r="G252" s="33">
        <v>48.357487922705317</v>
      </c>
      <c r="H252" s="29">
        <v>2070</v>
      </c>
      <c r="I252" s="34">
        <v>100</v>
      </c>
    </row>
    <row r="253" spans="1:9" ht="15" customHeight="1" x14ac:dyDescent="0.25">
      <c r="A253" s="42">
        <v>196</v>
      </c>
      <c r="B253" s="42" t="str">
        <v>2009</v>
      </c>
      <c r="C253" s="43" t="str">
        <v>KALITLAGA</v>
      </c>
      <c r="D253" s="50">
        <v>1217</v>
      </c>
      <c r="E253" s="33">
        <v>51.393581081081088</v>
      </c>
      <c r="F253" s="50">
        <v>1151</v>
      </c>
      <c r="G253" s="33">
        <v>48.606418918918919</v>
      </c>
      <c r="H253" s="29">
        <v>2368</v>
      </c>
      <c r="I253" s="34">
        <v>100</v>
      </c>
    </row>
    <row r="254" spans="1:9" ht="15" customHeight="1" x14ac:dyDescent="0.25">
      <c r="A254" s="42">
        <v>197</v>
      </c>
      <c r="B254" s="42" t="str">
        <v>2010</v>
      </c>
      <c r="C254" s="43" t="str">
        <v>KAREKAN</v>
      </c>
      <c r="D254" s="51">
        <v>1545</v>
      </c>
      <c r="E254" s="33">
        <v>51.985195154777927</v>
      </c>
      <c r="F254" s="51">
        <v>1427</v>
      </c>
      <c r="G254" s="33">
        <v>48.014804845222073</v>
      </c>
      <c r="H254" s="29">
        <v>2972</v>
      </c>
      <c r="I254" s="34">
        <v>100</v>
      </c>
    </row>
    <row r="255" spans="1:9" ht="15" customHeight="1" x14ac:dyDescent="0.25">
      <c r="A255" s="42">
        <v>198</v>
      </c>
      <c r="B255" s="42" t="str">
        <v>2011</v>
      </c>
      <c r="C255" s="43" t="str">
        <v>PLUMBUNGAN</v>
      </c>
      <c r="D255" s="50">
        <v>1194</v>
      </c>
      <c r="E255" s="33">
        <v>50.765306122448983</v>
      </c>
      <c r="F255" s="50">
        <v>1158</v>
      </c>
      <c r="G255" s="33">
        <v>49.234693877551024</v>
      </c>
      <c r="H255" s="29">
        <v>2352</v>
      </c>
      <c r="I255" s="34">
        <v>100</v>
      </c>
    </row>
    <row r="256" spans="1:9" ht="15" customHeight="1" x14ac:dyDescent="0.25">
      <c r="A256" s="42">
        <v>199</v>
      </c>
      <c r="B256" s="42" t="str">
        <v>2012</v>
      </c>
      <c r="C256" s="43" t="str">
        <v>PAGENTAN</v>
      </c>
      <c r="D256" s="50">
        <v>2575</v>
      </c>
      <c r="E256" s="33">
        <v>50.058320373250389</v>
      </c>
      <c r="F256" s="50">
        <v>2569</v>
      </c>
      <c r="G256" s="33">
        <v>49.941679626749611</v>
      </c>
      <c r="H256" s="29">
        <v>5144</v>
      </c>
      <c r="I256" s="34">
        <v>100</v>
      </c>
    </row>
    <row r="257" spans="1:9" ht="15" customHeight="1" x14ac:dyDescent="0.25">
      <c r="A257" s="42">
        <v>200</v>
      </c>
      <c r="B257" s="42" t="str">
        <v>2013</v>
      </c>
      <c r="C257" s="43" t="str">
        <v>KASMARAN</v>
      </c>
      <c r="D257" s="50">
        <v>1108</v>
      </c>
      <c r="E257" s="33">
        <v>49.88743809095002</v>
      </c>
      <c r="F257" s="50">
        <v>1113</v>
      </c>
      <c r="G257" s="33">
        <v>50.11256190904998</v>
      </c>
      <c r="H257" s="29">
        <v>2221</v>
      </c>
      <c r="I257" s="34">
        <v>100</v>
      </c>
    </row>
    <row r="258" spans="1:9" ht="15" customHeight="1" x14ac:dyDescent="0.25">
      <c r="A258" s="42">
        <v>201</v>
      </c>
      <c r="B258" s="42" t="str">
        <v>2014</v>
      </c>
      <c r="C258" s="43" t="str">
        <v>MAJASARI</v>
      </c>
      <c r="D258" s="50">
        <v>1691</v>
      </c>
      <c r="E258" s="33">
        <v>51.226900939109363</v>
      </c>
      <c r="F258" s="50">
        <v>1610</v>
      </c>
      <c r="G258" s="33">
        <v>48.773099060890637</v>
      </c>
      <c r="H258" s="29">
        <v>3301</v>
      </c>
      <c r="I258" s="34">
        <v>100</v>
      </c>
    </row>
    <row r="259" spans="1:9" ht="15" customHeight="1" x14ac:dyDescent="0.25">
      <c r="A259" s="42">
        <v>202</v>
      </c>
      <c r="B259" s="42" t="str">
        <v>2015</v>
      </c>
      <c r="C259" s="43" t="str">
        <v>BABADAN</v>
      </c>
      <c r="D259" s="51">
        <v>1909</v>
      </c>
      <c r="E259" s="33">
        <v>50.852424080980285</v>
      </c>
      <c r="F259" s="51">
        <v>1845</v>
      </c>
      <c r="G259" s="33">
        <v>49.147575919019715</v>
      </c>
      <c r="H259" s="29">
        <v>3754</v>
      </c>
      <c r="I259" s="34">
        <v>100</v>
      </c>
    </row>
    <row r="260" spans="1:9" ht="15" customHeight="1" x14ac:dyDescent="0.25">
      <c r="A260" s="42">
        <v>203</v>
      </c>
      <c r="B260" s="42" t="str">
        <v>2016</v>
      </c>
      <c r="C260" s="43" t="str">
        <v>TEGALJERUK</v>
      </c>
      <c r="D260" s="27">
        <v>1023</v>
      </c>
      <c r="E260" s="53">
        <v>51.4070351758794</v>
      </c>
      <c r="F260" s="27">
        <v>967</v>
      </c>
      <c r="G260" s="53">
        <v>48.592964824120607</v>
      </c>
      <c r="H260" s="29">
        <v>1990</v>
      </c>
      <c r="I260" s="54">
        <v>100</v>
      </c>
    </row>
    <row r="261" spans="1:9" ht="15" customHeight="1" x14ac:dyDescent="0.25">
      <c r="A261" s="78" t="s">
        <v>577</v>
      </c>
      <c r="B261" s="78"/>
      <c r="C261" s="78"/>
      <c r="D261" s="46">
        <f>SUM(D245:D260)</f>
        <v>20917</v>
      </c>
      <c r="E261" s="47">
        <f>D261/$H$261*100</f>
        <v>51.125559113240293</v>
      </c>
      <c r="F261" s="46">
        <f>SUM(F245:F260)</f>
        <v>19996</v>
      </c>
      <c r="G261" s="47">
        <f>F261/$H$261*100</f>
        <v>48.874440886759707</v>
      </c>
      <c r="H261" s="46">
        <f>SUM(H245:H260)</f>
        <v>40913</v>
      </c>
      <c r="I261" s="48">
        <f>H261/$H$261*100</f>
        <v>100</v>
      </c>
    </row>
    <row r="262" spans="1:9" ht="15" customHeight="1" x14ac:dyDescent="0.25">
      <c r="A262" s="86" t="s">
        <v>604</v>
      </c>
      <c r="B262" s="86"/>
      <c r="C262" s="86"/>
      <c r="D262" s="86"/>
      <c r="E262" s="86"/>
      <c r="F262" s="86"/>
      <c r="G262" s="86"/>
      <c r="H262" s="86"/>
      <c r="I262" s="86"/>
    </row>
    <row r="263" spans="1:9" ht="15" customHeight="1" x14ac:dyDescent="0.25">
      <c r="A263" s="83" t="s">
        <v>573</v>
      </c>
      <c r="B263" s="83" t="s">
        <v>589</v>
      </c>
      <c r="C263" s="83"/>
      <c r="D263" s="84" t="s">
        <v>575</v>
      </c>
      <c r="E263" s="84"/>
      <c r="F263" s="84" t="s">
        <v>576</v>
      </c>
      <c r="G263" s="84"/>
      <c r="H263" s="85" t="s">
        <v>577</v>
      </c>
      <c r="I263" s="85"/>
    </row>
    <row r="264" spans="1:9" ht="15" customHeight="1" x14ac:dyDescent="0.25">
      <c r="A264" s="83"/>
      <c r="B264" s="39" t="s">
        <v>578</v>
      </c>
      <c r="C264" s="39" t="s">
        <v>579</v>
      </c>
      <c r="D264" s="40" t="s">
        <v>577</v>
      </c>
      <c r="E264" s="40" t="s">
        <v>580</v>
      </c>
      <c r="F264" s="40" t="s">
        <v>577</v>
      </c>
      <c r="G264" s="40" t="s">
        <v>580</v>
      </c>
      <c r="H264" s="41" t="s">
        <v>590</v>
      </c>
      <c r="I264" s="41" t="s">
        <v>580</v>
      </c>
    </row>
    <row r="265" spans="1:9" ht="15" customHeight="1" x14ac:dyDescent="0.25">
      <c r="A265" s="42">
        <v>204</v>
      </c>
      <c r="B265" s="42" t="str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43" t="str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7">
        <v>639</v>
      </c>
      <c r="E265" s="33">
        <f t="array" ref="E265:E281">D265:D281/$H$265:$H$281*100</f>
        <v>51.407884151246982</v>
      </c>
      <c r="F265" s="27">
        <f t="array" ref="F265:F281">_xlfn._xlws.FILTER('AGR_JK_3304_KAB. BANJARNEGARA'!$E$3:$E$300,(LEN('AGR_JK_3304_KAB. BANJARNEGARA'!$B$3:$B$300)=13)*(LEFT('AGR_JK_3304_KAB. BANJARNEGARA'!$B$3:$B$300,8)=MID(A262,13,8)))</f>
        <v>604</v>
      </c>
      <c r="G265" s="33">
        <f t="array" ref="G265:G281">F265:F281/$H$265:$H$281*100</f>
        <v>48.592115848753018</v>
      </c>
      <c r="H265" s="29">
        <f t="array" ref="H265:H281">_xlfn._xlws.FILTER('AGR_JK_3304_KAB. BANJARNEGARA'!$F$3:$F$300,(LEN('AGR_JK_3304_KAB. BANJARNEGARA'!$B$3:$B$300)=13)*(LEFT('AGR_JK_3304_KAB. BANJARNEGARA'!$B$3:$B$300,8)=MID(A262,13,8)))</f>
        <v>1243</v>
      </c>
      <c r="I265" s="34">
        <f t="array" ref="I265:I281">H265:H281/$H$265:$H$281*100</f>
        <v>100</v>
      </c>
    </row>
    <row r="266" spans="1:9" ht="15" customHeight="1" x14ac:dyDescent="0.25">
      <c r="A266" s="42">
        <v>205</v>
      </c>
      <c r="B266" s="42" t="str">
        <v>2002</v>
      </c>
      <c r="C266" s="43" t="str">
        <v>KARANGSARI</v>
      </c>
      <c r="D266" s="50">
        <v>1630</v>
      </c>
      <c r="E266" s="33">
        <v>51.877784850413747</v>
      </c>
      <c r="F266" s="50">
        <v>1512</v>
      </c>
      <c r="G266" s="33">
        <v>48.122215149586253</v>
      </c>
      <c r="H266" s="29">
        <v>3142</v>
      </c>
      <c r="I266" s="34">
        <v>100</v>
      </c>
    </row>
    <row r="267" spans="1:9" ht="15" customHeight="1" x14ac:dyDescent="0.25">
      <c r="A267" s="42">
        <v>206</v>
      </c>
      <c r="B267" s="42" t="str">
        <v>2003</v>
      </c>
      <c r="C267" s="43" t="str">
        <v>SARWODADI</v>
      </c>
      <c r="D267" s="50">
        <v>998</v>
      </c>
      <c r="E267" s="33">
        <v>52.333508127949656</v>
      </c>
      <c r="F267" s="50">
        <v>909</v>
      </c>
      <c r="G267" s="33">
        <v>47.666491872050344</v>
      </c>
      <c r="H267" s="29">
        <v>1907</v>
      </c>
      <c r="I267" s="34">
        <v>100</v>
      </c>
    </row>
    <row r="268" spans="1:9" ht="15" customHeight="1" x14ac:dyDescent="0.25">
      <c r="A268" s="42">
        <v>207</v>
      </c>
      <c r="B268" s="42" t="str">
        <v>2004</v>
      </c>
      <c r="C268" s="43" t="str">
        <v>GROGOL</v>
      </c>
      <c r="D268" s="50">
        <v>1764</v>
      </c>
      <c r="E268" s="33">
        <v>52.390852390852395</v>
      </c>
      <c r="F268" s="50">
        <v>1603</v>
      </c>
      <c r="G268" s="33">
        <v>47.609147609147612</v>
      </c>
      <c r="H268" s="29">
        <v>3367</v>
      </c>
      <c r="I268" s="34">
        <v>100</v>
      </c>
    </row>
    <row r="269" spans="1:9" ht="15" customHeight="1" x14ac:dyDescent="0.25">
      <c r="A269" s="42">
        <v>208</v>
      </c>
      <c r="B269" s="42" t="str">
        <v>2005</v>
      </c>
      <c r="C269" s="43" t="str">
        <v>GIRITIRTA</v>
      </c>
      <c r="D269" s="51">
        <v>1592</v>
      </c>
      <c r="E269" s="33">
        <v>51.992161985630304</v>
      </c>
      <c r="F269" s="51">
        <v>1470</v>
      </c>
      <c r="G269" s="33">
        <v>48.007838014369689</v>
      </c>
      <c r="H269" s="29">
        <v>3062</v>
      </c>
      <c r="I269" s="34">
        <v>100</v>
      </c>
    </row>
    <row r="270" spans="1:9" ht="15" customHeight="1" x14ac:dyDescent="0.25">
      <c r="A270" s="42">
        <v>209</v>
      </c>
      <c r="B270" s="42" t="str">
        <v>2006</v>
      </c>
      <c r="C270" s="43" t="str">
        <v>BITING</v>
      </c>
      <c r="D270" s="50">
        <v>988</v>
      </c>
      <c r="E270" s="33">
        <v>50.408163265306129</v>
      </c>
      <c r="F270" s="50">
        <v>972</v>
      </c>
      <c r="G270" s="33">
        <v>49.591836734693878</v>
      </c>
      <c r="H270" s="29">
        <v>1960</v>
      </c>
      <c r="I270" s="34">
        <v>100</v>
      </c>
    </row>
    <row r="271" spans="1:9" ht="15" customHeight="1" x14ac:dyDescent="0.25">
      <c r="A271" s="42">
        <v>210</v>
      </c>
      <c r="B271" s="42" t="str">
        <v>2007</v>
      </c>
      <c r="C271" s="43" t="str">
        <v>TLAHAB</v>
      </c>
      <c r="D271" s="51">
        <v>854</v>
      </c>
      <c r="E271" s="33">
        <v>51.820388349514566</v>
      </c>
      <c r="F271" s="51">
        <v>794</v>
      </c>
      <c r="G271" s="33">
        <v>48.179611650485441</v>
      </c>
      <c r="H271" s="29">
        <v>1648</v>
      </c>
      <c r="I271" s="34">
        <v>100</v>
      </c>
    </row>
    <row r="272" spans="1:9" ht="15" customHeight="1" x14ac:dyDescent="0.25">
      <c r="A272" s="42">
        <v>211</v>
      </c>
      <c r="B272" s="42" t="str">
        <v>2008</v>
      </c>
      <c r="C272" s="43" t="str">
        <v>DARMAYASA</v>
      </c>
      <c r="D272" s="51">
        <v>2343</v>
      </c>
      <c r="E272" s="33">
        <v>51.325301204819276</v>
      </c>
      <c r="F272" s="51">
        <v>2222</v>
      </c>
      <c r="G272" s="33">
        <v>48.674698795180724</v>
      </c>
      <c r="H272" s="29">
        <v>4565</v>
      </c>
      <c r="I272" s="34">
        <v>100</v>
      </c>
    </row>
    <row r="273" spans="1:9" ht="15" customHeight="1" x14ac:dyDescent="0.25">
      <c r="A273" s="42">
        <v>212</v>
      </c>
      <c r="B273" s="42" t="str">
        <v>2009</v>
      </c>
      <c r="C273" s="43" t="str">
        <v>PEJAWARAN</v>
      </c>
      <c r="D273" s="50">
        <v>2346</v>
      </c>
      <c r="E273" s="33">
        <v>52.600896860986545</v>
      </c>
      <c r="F273" s="50">
        <v>2114</v>
      </c>
      <c r="G273" s="33">
        <v>47.399103139013455</v>
      </c>
      <c r="H273" s="29">
        <v>4460</v>
      </c>
      <c r="I273" s="34">
        <v>100</v>
      </c>
    </row>
    <row r="274" spans="1:9" ht="15" customHeight="1" x14ac:dyDescent="0.25">
      <c r="A274" s="42">
        <v>213</v>
      </c>
      <c r="B274" s="42" t="str">
        <v>2010</v>
      </c>
      <c r="C274" s="43" t="str">
        <v>PENUSUPAN</v>
      </c>
      <c r="D274" s="51">
        <v>2252</v>
      </c>
      <c r="E274" s="33">
        <v>52.009237875288683</v>
      </c>
      <c r="F274" s="51">
        <v>2078</v>
      </c>
      <c r="G274" s="33">
        <v>47.990762124711317</v>
      </c>
      <c r="H274" s="29">
        <v>4330</v>
      </c>
      <c r="I274" s="34">
        <v>100</v>
      </c>
    </row>
    <row r="275" spans="1:9" ht="15" customHeight="1" x14ac:dyDescent="0.25">
      <c r="A275" s="42">
        <v>214</v>
      </c>
      <c r="B275" s="42" t="str">
        <v>2011</v>
      </c>
      <c r="C275" s="43" t="str">
        <v>RATAMBA</v>
      </c>
      <c r="D275" s="50">
        <v>1402</v>
      </c>
      <c r="E275" s="33">
        <v>52.29392017903767</v>
      </c>
      <c r="F275" s="50">
        <v>1279</v>
      </c>
      <c r="G275" s="33">
        <v>47.70607982096233</v>
      </c>
      <c r="H275" s="29">
        <v>2681</v>
      </c>
      <c r="I275" s="34">
        <v>100</v>
      </c>
    </row>
    <row r="276" spans="1:9" ht="15" customHeight="1" x14ac:dyDescent="0.25">
      <c r="A276" s="42">
        <v>215</v>
      </c>
      <c r="B276" s="42" t="str">
        <v>2012</v>
      </c>
      <c r="C276" s="43" t="str">
        <v>SIDENGOK</v>
      </c>
      <c r="D276" s="50">
        <v>1850</v>
      </c>
      <c r="E276" s="33">
        <v>52.304212609556124</v>
      </c>
      <c r="F276" s="50">
        <v>1687</v>
      </c>
      <c r="G276" s="33">
        <v>47.695787390443876</v>
      </c>
      <c r="H276" s="29">
        <v>3537</v>
      </c>
      <c r="I276" s="34">
        <v>100</v>
      </c>
    </row>
    <row r="277" spans="1:9" ht="15" customHeight="1" x14ac:dyDescent="0.25">
      <c r="A277" s="42">
        <v>216</v>
      </c>
      <c r="B277" s="42" t="str">
        <v>2013</v>
      </c>
      <c r="C277" s="43" t="str">
        <v>PEGUNDUNGAN</v>
      </c>
      <c r="D277" s="50">
        <v>955</v>
      </c>
      <c r="E277" s="33">
        <v>50.797872340425535</v>
      </c>
      <c r="F277" s="50">
        <v>925</v>
      </c>
      <c r="G277" s="33">
        <v>49.202127659574465</v>
      </c>
      <c r="H277" s="29">
        <v>1880</v>
      </c>
      <c r="I277" s="34">
        <v>100</v>
      </c>
    </row>
    <row r="278" spans="1:9" ht="15" customHeight="1" x14ac:dyDescent="0.25">
      <c r="A278" s="42">
        <v>217</v>
      </c>
      <c r="B278" s="42" t="str">
        <v>2014</v>
      </c>
      <c r="C278" s="43" t="str">
        <v>BEJI</v>
      </c>
      <c r="D278" s="50">
        <v>645</v>
      </c>
      <c r="E278" s="33">
        <v>51.028481012658233</v>
      </c>
      <c r="F278" s="50">
        <v>619</v>
      </c>
      <c r="G278" s="33">
        <v>48.971518987341774</v>
      </c>
      <c r="H278" s="29">
        <v>1264</v>
      </c>
      <c r="I278" s="34">
        <v>100</v>
      </c>
    </row>
    <row r="279" spans="1:9" ht="15" customHeight="1" x14ac:dyDescent="0.25">
      <c r="A279" s="42">
        <v>218</v>
      </c>
      <c r="B279" s="42" t="str">
        <v>2015</v>
      </c>
      <c r="C279" s="43" t="str">
        <v>SEMANGKUNG</v>
      </c>
      <c r="D279" s="51">
        <v>993</v>
      </c>
      <c r="E279" s="33">
        <v>51.424132573795958</v>
      </c>
      <c r="F279" s="51">
        <v>938</v>
      </c>
      <c r="G279" s="33">
        <v>48.575867426204042</v>
      </c>
      <c r="H279" s="29">
        <v>1931</v>
      </c>
      <c r="I279" s="34">
        <v>100</v>
      </c>
    </row>
    <row r="280" spans="1:9" ht="15" customHeight="1" x14ac:dyDescent="0.25">
      <c r="A280" s="42">
        <v>219</v>
      </c>
      <c r="B280" s="42" t="str">
        <v>2016</v>
      </c>
      <c r="C280" s="43" t="str">
        <v>CONDONGCAMPUR</v>
      </c>
      <c r="D280" s="27">
        <v>1742</v>
      </c>
      <c r="E280" s="53">
        <v>52.186938286399041</v>
      </c>
      <c r="F280" s="27">
        <v>1596</v>
      </c>
      <c r="G280" s="53">
        <v>47.813061713600959</v>
      </c>
      <c r="H280" s="29">
        <v>3338</v>
      </c>
      <c r="I280" s="54">
        <v>100</v>
      </c>
    </row>
    <row r="281" spans="1:9" ht="15" customHeight="1" x14ac:dyDescent="0.25">
      <c r="A281" s="42">
        <v>220</v>
      </c>
      <c r="B281" s="42" t="str">
        <v>2017</v>
      </c>
      <c r="C281" s="43" t="str">
        <v>GEMBOL</v>
      </c>
      <c r="D281" s="45">
        <v>1562</v>
      </c>
      <c r="E281" s="53">
        <v>52.101400933955965</v>
      </c>
      <c r="F281" s="45">
        <v>1436</v>
      </c>
      <c r="G281" s="53">
        <v>47.898599066044028</v>
      </c>
      <c r="H281" s="29">
        <v>2998</v>
      </c>
      <c r="I281" s="54">
        <v>100</v>
      </c>
    </row>
    <row r="282" spans="1:9" ht="15" customHeight="1" x14ac:dyDescent="0.25">
      <c r="A282" s="78" t="s">
        <v>577</v>
      </c>
      <c r="B282" s="78"/>
      <c r="C282" s="78"/>
      <c r="D282" s="46">
        <f>SUM(D265:D281)</f>
        <v>24555</v>
      </c>
      <c r="E282" s="47">
        <f>D282/$H$282*100</f>
        <v>51.899055227950029</v>
      </c>
      <c r="F282" s="46">
        <f>SUM(F265:F281)</f>
        <v>22758</v>
      </c>
      <c r="G282" s="47">
        <f>F282/$H$282*100</f>
        <v>48.100944772049964</v>
      </c>
      <c r="H282" s="46">
        <f>SUM(H265:H281)</f>
        <v>47313</v>
      </c>
      <c r="I282" s="48">
        <f>H282/$H$282*100</f>
        <v>100</v>
      </c>
    </row>
    <row r="283" spans="1:9" ht="15" customHeight="1" x14ac:dyDescent="0.25">
      <c r="A283" s="86" t="s">
        <v>605</v>
      </c>
      <c r="B283" s="86"/>
      <c r="C283" s="86"/>
      <c r="D283" s="86"/>
      <c r="E283" s="86"/>
      <c r="F283" s="86"/>
      <c r="G283" s="86"/>
      <c r="H283" s="86"/>
      <c r="I283" s="86"/>
    </row>
    <row r="284" spans="1:9" ht="15" customHeight="1" x14ac:dyDescent="0.25">
      <c r="A284" s="83" t="s">
        <v>573</v>
      </c>
      <c r="B284" s="83" t="s">
        <v>589</v>
      </c>
      <c r="C284" s="83"/>
      <c r="D284" s="84" t="s">
        <v>575</v>
      </c>
      <c r="E284" s="84"/>
      <c r="F284" s="84" t="s">
        <v>576</v>
      </c>
      <c r="G284" s="84"/>
      <c r="H284" s="85" t="s">
        <v>577</v>
      </c>
      <c r="I284" s="85"/>
    </row>
    <row r="285" spans="1:9" ht="15" customHeight="1" x14ac:dyDescent="0.25">
      <c r="A285" s="83"/>
      <c r="B285" s="39" t="s">
        <v>578</v>
      </c>
      <c r="C285" s="39" t="s">
        <v>579</v>
      </c>
      <c r="D285" s="40" t="s">
        <v>577</v>
      </c>
      <c r="E285" s="40" t="s">
        <v>580</v>
      </c>
      <c r="F285" s="40" t="s">
        <v>577</v>
      </c>
      <c r="G285" s="40" t="s">
        <v>580</v>
      </c>
      <c r="H285" s="41" t="s">
        <v>590</v>
      </c>
      <c r="I285" s="41" t="s">
        <v>580</v>
      </c>
    </row>
    <row r="286" spans="1:9" ht="15" customHeight="1" x14ac:dyDescent="0.25">
      <c r="A286" s="42">
        <v>221</v>
      </c>
      <c r="B286" s="42" t="str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43" t="str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7">
        <v>7243</v>
      </c>
      <c r="E286" s="33">
        <f t="array" ref="E286:E293">D286:D293/$H$286:$H$293*100</f>
        <v>51.507609159436782</v>
      </c>
      <c r="F286" s="27">
        <f t="array" ref="F286:F293">_xlfn._xlws.FILTER('AGR_JK_3304_KAB. BANJARNEGARA'!$E$3:$E$300,(LEN('AGR_JK_3304_KAB. BANJARNEGARA'!$B$3:$B$300)=13)*(LEFT('AGR_JK_3304_KAB. BANJARNEGARA'!$B$3:$B$300,8)=MID(A283,13,8)))</f>
        <v>6819</v>
      </c>
      <c r="G286" s="33">
        <f t="array" ref="G286:G293">F286:F293/$H$286:$H$293*100</f>
        <v>48.492390840563218</v>
      </c>
      <c r="H286" s="29">
        <f t="array" ref="H286:H293">_xlfn._xlws.FILTER('AGR_JK_3304_KAB. BANJARNEGARA'!$F$3:$F$300,(LEN('AGR_JK_3304_KAB. BANJARNEGARA'!$B$3:$B$300)=13)*(LEFT('AGR_JK_3304_KAB. BANJARNEGARA'!$B$3:$B$300,8)=MID(A283,13,8)))</f>
        <v>14062</v>
      </c>
      <c r="I286" s="34">
        <f t="array" ref="I286:I293">H286:H293/$H$286:$H$293*100</f>
        <v>100</v>
      </c>
    </row>
    <row r="287" spans="1:9" ht="15" customHeight="1" x14ac:dyDescent="0.25">
      <c r="A287" s="42">
        <v>222</v>
      </c>
      <c r="B287" s="42" t="str">
        <v>2002</v>
      </c>
      <c r="C287" s="43" t="str">
        <v>SUMBEREJO</v>
      </c>
      <c r="D287" s="50">
        <v>2984</v>
      </c>
      <c r="E287" s="33">
        <v>51.904679074621676</v>
      </c>
      <c r="F287" s="50">
        <v>2765</v>
      </c>
      <c r="G287" s="33">
        <v>48.095320925378324</v>
      </c>
      <c r="H287" s="29">
        <v>5749</v>
      </c>
      <c r="I287" s="34">
        <v>100</v>
      </c>
    </row>
    <row r="288" spans="1:9" ht="15" customHeight="1" x14ac:dyDescent="0.25">
      <c r="A288" s="42">
        <v>223</v>
      </c>
      <c r="B288" s="42" t="str">
        <v>2003</v>
      </c>
      <c r="C288" s="43" t="str">
        <v>PASURENAN</v>
      </c>
      <c r="D288" s="50">
        <v>1511</v>
      </c>
      <c r="E288" s="33">
        <v>51.202982039986445</v>
      </c>
      <c r="F288" s="50">
        <v>1440</v>
      </c>
      <c r="G288" s="33">
        <v>48.797017960013555</v>
      </c>
      <c r="H288" s="29">
        <v>2951</v>
      </c>
      <c r="I288" s="34">
        <v>100</v>
      </c>
    </row>
    <row r="289" spans="1:9" ht="15" customHeight="1" x14ac:dyDescent="0.25">
      <c r="A289" s="42">
        <v>224</v>
      </c>
      <c r="B289" s="42" t="str">
        <v>2004</v>
      </c>
      <c r="C289" s="43" t="str">
        <v>PEKASIRAN</v>
      </c>
      <c r="D289" s="50">
        <v>2806</v>
      </c>
      <c r="E289" s="33">
        <v>51.018181818181816</v>
      </c>
      <c r="F289" s="50">
        <v>2694</v>
      </c>
      <c r="G289" s="33">
        <v>48.981818181818184</v>
      </c>
      <c r="H289" s="29">
        <v>5500</v>
      </c>
      <c r="I289" s="34">
        <v>100</v>
      </c>
    </row>
    <row r="290" spans="1:9" ht="15" customHeight="1" x14ac:dyDescent="0.25">
      <c r="A290" s="42">
        <v>225</v>
      </c>
      <c r="B290" s="42" t="str">
        <v>2005</v>
      </c>
      <c r="C290" s="43" t="str">
        <v>KEPAKISAN</v>
      </c>
      <c r="D290" s="51">
        <v>1651</v>
      </c>
      <c r="E290" s="33">
        <v>51.25737348649487</v>
      </c>
      <c r="F290" s="51">
        <v>1570</v>
      </c>
      <c r="G290" s="33">
        <v>48.742626513505122</v>
      </c>
      <c r="H290" s="29">
        <v>3221</v>
      </c>
      <c r="I290" s="34">
        <v>100</v>
      </c>
    </row>
    <row r="291" spans="1:9" ht="15" customHeight="1" x14ac:dyDescent="0.25">
      <c r="A291" s="42">
        <v>226</v>
      </c>
      <c r="B291" s="42" t="str">
        <v>2006</v>
      </c>
      <c r="C291" s="43" t="str">
        <v>BAKAL</v>
      </c>
      <c r="D291" s="50">
        <v>1870</v>
      </c>
      <c r="E291" s="33">
        <v>52.089136490250695</v>
      </c>
      <c r="F291" s="50">
        <v>1720</v>
      </c>
      <c r="G291" s="33">
        <v>47.910863509749305</v>
      </c>
      <c r="H291" s="29">
        <v>3590</v>
      </c>
      <c r="I291" s="34">
        <v>100</v>
      </c>
    </row>
    <row r="292" spans="1:9" ht="15" customHeight="1" x14ac:dyDescent="0.25">
      <c r="A292" s="42">
        <v>227</v>
      </c>
      <c r="B292" s="42" t="str">
        <v>2007</v>
      </c>
      <c r="C292" s="43" t="str">
        <v>KARANGTENGAH</v>
      </c>
      <c r="D292" s="51">
        <v>2407</v>
      </c>
      <c r="E292" s="33">
        <v>51.641278695558889</v>
      </c>
      <c r="F292" s="51">
        <v>2254</v>
      </c>
      <c r="G292" s="33">
        <v>48.358721304441104</v>
      </c>
      <c r="H292" s="29">
        <v>4661</v>
      </c>
      <c r="I292" s="34">
        <v>100</v>
      </c>
    </row>
    <row r="293" spans="1:9" ht="15" customHeight="1" x14ac:dyDescent="0.25">
      <c r="A293" s="42">
        <v>228</v>
      </c>
      <c r="B293" s="42" t="str">
        <v>2008</v>
      </c>
      <c r="C293" s="43" t="str">
        <v>DIENG KULON</v>
      </c>
      <c r="D293" s="51">
        <v>2160</v>
      </c>
      <c r="E293" s="33">
        <v>51.94805194805194</v>
      </c>
      <c r="F293" s="51">
        <v>1998</v>
      </c>
      <c r="G293" s="33">
        <v>48.051948051948052</v>
      </c>
      <c r="H293" s="29">
        <v>4158</v>
      </c>
      <c r="I293" s="34">
        <v>100</v>
      </c>
    </row>
    <row r="294" spans="1:9" ht="15" customHeight="1" x14ac:dyDescent="0.25">
      <c r="A294" s="78" t="s">
        <v>577</v>
      </c>
      <c r="B294" s="78"/>
      <c r="C294" s="78"/>
      <c r="D294" s="46">
        <f>SUM(D286:D293)</f>
        <v>22632</v>
      </c>
      <c r="E294" s="47">
        <f>D294/$H$294*100</f>
        <v>51.562927184908411</v>
      </c>
      <c r="F294" s="46">
        <f>SUM(F286:F293)</f>
        <v>21260</v>
      </c>
      <c r="G294" s="47">
        <f>F294/$H$361*100</f>
        <v>1.9718670408823875</v>
      </c>
      <c r="H294" s="46">
        <f>SUM(H286:H293)</f>
        <v>43892</v>
      </c>
      <c r="I294" s="48">
        <f>(D294+F294)/$H$294*100</f>
        <v>100</v>
      </c>
    </row>
    <row r="295" spans="1:9" ht="15" customHeight="1" x14ac:dyDescent="0.25">
      <c r="A295" s="86" t="s">
        <v>606</v>
      </c>
      <c r="B295" s="86"/>
      <c r="C295" s="86"/>
      <c r="D295" s="86"/>
      <c r="E295" s="86"/>
      <c r="F295" s="86"/>
      <c r="G295" s="86"/>
      <c r="H295" s="86"/>
      <c r="I295" s="86"/>
    </row>
    <row r="296" spans="1:9" ht="15" customHeight="1" x14ac:dyDescent="0.25">
      <c r="A296" s="83" t="s">
        <v>573</v>
      </c>
      <c r="B296" s="83" t="s">
        <v>589</v>
      </c>
      <c r="C296" s="83"/>
      <c r="D296" s="84" t="s">
        <v>575</v>
      </c>
      <c r="E296" s="84"/>
      <c r="F296" s="84" t="s">
        <v>576</v>
      </c>
      <c r="G296" s="84"/>
      <c r="H296" s="85" t="s">
        <v>577</v>
      </c>
      <c r="I296" s="85"/>
    </row>
    <row r="297" spans="1:9" ht="15" customHeight="1" x14ac:dyDescent="0.25">
      <c r="A297" s="83"/>
      <c r="B297" s="39" t="s">
        <v>578</v>
      </c>
      <c r="C297" s="39" t="s">
        <v>579</v>
      </c>
      <c r="D297" s="40" t="s">
        <v>577</v>
      </c>
      <c r="E297" s="40" t="s">
        <v>580</v>
      </c>
      <c r="F297" s="40" t="s">
        <v>577</v>
      </c>
      <c r="G297" s="40" t="s">
        <v>580</v>
      </c>
      <c r="H297" s="41" t="s">
        <v>590</v>
      </c>
      <c r="I297" s="41" t="s">
        <v>580</v>
      </c>
    </row>
    <row r="298" spans="1:9" ht="15" customHeight="1" x14ac:dyDescent="0.25">
      <c r="A298" s="42">
        <v>229</v>
      </c>
      <c r="B298" s="42" t="str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43" t="str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7">
        <v>981</v>
      </c>
      <c r="E298" s="33">
        <f t="array" ref="E298:E314">D298:D314/$H$298:$H$314*100</f>
        <v>51.173708920187785</v>
      </c>
      <c r="F298" s="27">
        <f t="array" ref="F298:F314">_xlfn._xlws.FILTER('AGR_JK_3304_KAB. BANJARNEGARA'!$E$3:$E$300,(LEN('AGR_JK_3304_KAB. BANJARNEGARA'!$B$3:$B$300)=13)*(LEFT('AGR_JK_3304_KAB. BANJARNEGARA'!$B$3:$B$300,8)=MID(A295,13,8)))</f>
        <v>936</v>
      </c>
      <c r="G298" s="33">
        <f t="array" ref="G298:G314">F298:F314/$H$298:$H$314*100</f>
        <v>48.826291079812208</v>
      </c>
      <c r="H298" s="29">
        <f t="array" ref="H298:H314">_xlfn._xlws.FILTER('AGR_JK_3304_KAB. BANJARNEGARA'!$F$3:$F$300,(LEN('AGR_JK_3304_KAB. BANJARNEGARA'!$B$3:$B$300)=13)*(LEFT('AGR_JK_3304_KAB. BANJARNEGARA'!$B$3:$B$300,8)=MID(A295,13,8)))</f>
        <v>1917</v>
      </c>
      <c r="I298" s="34">
        <f t="array" ref="I298:I314">H298:H314/$H$298:$H$314*100</f>
        <v>100</v>
      </c>
    </row>
    <row r="299" spans="1:9" ht="15" customHeight="1" x14ac:dyDescent="0.25">
      <c r="A299" s="42">
        <v>230</v>
      </c>
      <c r="B299" s="42" t="str">
        <v>2002</v>
      </c>
      <c r="C299" s="43" t="str">
        <v>SUWIDAK</v>
      </c>
      <c r="D299" s="50">
        <v>1043</v>
      </c>
      <c r="E299" s="33">
        <v>51.582591493570717</v>
      </c>
      <c r="F299" s="50">
        <v>979</v>
      </c>
      <c r="G299" s="33">
        <v>48.417408506429275</v>
      </c>
      <c r="H299" s="29">
        <v>2022</v>
      </c>
      <c r="I299" s="34">
        <v>100</v>
      </c>
    </row>
    <row r="300" spans="1:9" ht="15" customHeight="1" x14ac:dyDescent="0.25">
      <c r="A300" s="42">
        <v>231</v>
      </c>
      <c r="B300" s="42" t="str">
        <v>2003</v>
      </c>
      <c r="C300" s="43" t="str">
        <v>BANTAR</v>
      </c>
      <c r="D300" s="50">
        <v>1394</v>
      </c>
      <c r="E300" s="33">
        <v>52.723146747352502</v>
      </c>
      <c r="F300" s="50">
        <v>1250</v>
      </c>
      <c r="G300" s="33">
        <v>47.276853252647506</v>
      </c>
      <c r="H300" s="29">
        <v>2644</v>
      </c>
      <c r="I300" s="34">
        <v>100</v>
      </c>
    </row>
    <row r="301" spans="1:9" ht="15" customHeight="1" x14ac:dyDescent="0.25">
      <c r="A301" s="42">
        <v>232</v>
      </c>
      <c r="B301" s="42" t="str">
        <v>2004</v>
      </c>
      <c r="C301" s="43" t="str">
        <v>PANDANSARI</v>
      </c>
      <c r="D301" s="50">
        <v>1987</v>
      </c>
      <c r="E301" s="33">
        <v>52.986666666666672</v>
      </c>
      <c r="F301" s="50">
        <v>1763</v>
      </c>
      <c r="G301" s="33">
        <v>47.013333333333335</v>
      </c>
      <c r="H301" s="29">
        <v>3750</v>
      </c>
      <c r="I301" s="34">
        <v>100</v>
      </c>
    </row>
    <row r="302" spans="1:9" ht="15" customHeight="1" x14ac:dyDescent="0.25">
      <c r="A302" s="42">
        <v>233</v>
      </c>
      <c r="B302" s="42" t="str">
        <v>2005</v>
      </c>
      <c r="C302" s="43" t="str">
        <v>PAGERGUNUNG</v>
      </c>
      <c r="D302" s="51">
        <v>1014</v>
      </c>
      <c r="E302" s="33">
        <v>51.524390243902438</v>
      </c>
      <c r="F302" s="51">
        <v>954</v>
      </c>
      <c r="G302" s="33">
        <v>48.475609756097562</v>
      </c>
      <c r="H302" s="29">
        <v>1968</v>
      </c>
      <c r="I302" s="34">
        <v>100</v>
      </c>
    </row>
    <row r="303" spans="1:9" ht="15" customHeight="1" x14ac:dyDescent="0.25">
      <c r="A303" s="42">
        <v>234</v>
      </c>
      <c r="B303" s="42" t="str">
        <v>2006</v>
      </c>
      <c r="C303" s="43" t="str">
        <v>DAWUHAN</v>
      </c>
      <c r="D303" s="50">
        <v>1064</v>
      </c>
      <c r="E303" s="33">
        <v>52.387986213687846</v>
      </c>
      <c r="F303" s="50">
        <v>967</v>
      </c>
      <c r="G303" s="33">
        <v>47.612013786312161</v>
      </c>
      <c r="H303" s="29">
        <v>2031</v>
      </c>
      <c r="I303" s="34">
        <v>100</v>
      </c>
    </row>
    <row r="304" spans="1:9" ht="15" customHeight="1" x14ac:dyDescent="0.25">
      <c r="A304" s="42">
        <v>235</v>
      </c>
      <c r="B304" s="42" t="str">
        <v>2007</v>
      </c>
      <c r="C304" s="43" t="str">
        <v>KUBANG</v>
      </c>
      <c r="D304" s="51">
        <v>2260</v>
      </c>
      <c r="E304" s="33">
        <v>53.163961420842156</v>
      </c>
      <c r="F304" s="51">
        <v>1991</v>
      </c>
      <c r="G304" s="33">
        <v>46.836038579157844</v>
      </c>
      <c r="H304" s="29">
        <v>4251</v>
      </c>
      <c r="I304" s="34">
        <v>100</v>
      </c>
    </row>
    <row r="305" spans="1:9" ht="15" customHeight="1" x14ac:dyDescent="0.25">
      <c r="A305" s="42">
        <v>236</v>
      </c>
      <c r="B305" s="42" t="str">
        <v>2008</v>
      </c>
      <c r="C305" s="43" t="str">
        <v>SUSUKAN</v>
      </c>
      <c r="D305" s="51">
        <v>1305</v>
      </c>
      <c r="E305" s="33">
        <v>51.256873527101334</v>
      </c>
      <c r="F305" s="51">
        <v>1241</v>
      </c>
      <c r="G305" s="33">
        <v>48.743126472898659</v>
      </c>
      <c r="H305" s="29">
        <v>2546</v>
      </c>
      <c r="I305" s="34">
        <v>100</v>
      </c>
    </row>
    <row r="306" spans="1:9" ht="15" customHeight="1" x14ac:dyDescent="0.25">
      <c r="A306" s="42">
        <v>237</v>
      </c>
      <c r="B306" s="42" t="str">
        <v>2009</v>
      </c>
      <c r="C306" s="43" t="str">
        <v>WANAYASA</v>
      </c>
      <c r="D306" s="50">
        <v>2739</v>
      </c>
      <c r="E306" s="33">
        <v>50.835189309576833</v>
      </c>
      <c r="F306" s="50">
        <v>2649</v>
      </c>
      <c r="G306" s="33">
        <v>49.16481069042316</v>
      </c>
      <c r="H306" s="29">
        <v>5388</v>
      </c>
      <c r="I306" s="34">
        <v>100</v>
      </c>
    </row>
    <row r="307" spans="1:9" ht="15" customHeight="1" x14ac:dyDescent="0.25">
      <c r="A307" s="42">
        <v>238</v>
      </c>
      <c r="B307" s="42" t="str">
        <v>2010</v>
      </c>
      <c r="C307" s="43" t="str">
        <v>PESANTREN</v>
      </c>
      <c r="D307" s="51">
        <v>1607</v>
      </c>
      <c r="E307" s="33">
        <v>50.109136264421586</v>
      </c>
      <c r="F307" s="51">
        <v>1600</v>
      </c>
      <c r="G307" s="33">
        <v>49.890863735578421</v>
      </c>
      <c r="H307" s="29">
        <v>3207</v>
      </c>
      <c r="I307" s="34">
        <v>100</v>
      </c>
    </row>
    <row r="308" spans="1:9" ht="15" customHeight="1" x14ac:dyDescent="0.25">
      <c r="A308" s="42">
        <v>239</v>
      </c>
      <c r="B308" s="42" t="str">
        <v>2011</v>
      </c>
      <c r="C308" s="43" t="str">
        <v>BALUN</v>
      </c>
      <c r="D308" s="50">
        <v>2050</v>
      </c>
      <c r="E308" s="33">
        <v>52.056881665820207</v>
      </c>
      <c r="F308" s="50">
        <v>1888</v>
      </c>
      <c r="G308" s="33">
        <v>47.943118334179786</v>
      </c>
      <c r="H308" s="29">
        <v>3938</v>
      </c>
      <c r="I308" s="34">
        <v>100</v>
      </c>
    </row>
    <row r="309" spans="1:9" ht="15" customHeight="1" x14ac:dyDescent="0.25">
      <c r="A309" s="42">
        <v>240</v>
      </c>
      <c r="B309" s="42" t="str">
        <v>2012</v>
      </c>
      <c r="C309" s="43" t="str">
        <v>TEMPURAN</v>
      </c>
      <c r="D309" s="50">
        <v>1562</v>
      </c>
      <c r="E309" s="33">
        <v>51.756129887342603</v>
      </c>
      <c r="F309" s="50">
        <v>1456</v>
      </c>
      <c r="G309" s="33">
        <v>48.24387011265739</v>
      </c>
      <c r="H309" s="29">
        <v>3018</v>
      </c>
      <c r="I309" s="34">
        <v>100</v>
      </c>
    </row>
    <row r="310" spans="1:9" ht="15" customHeight="1" x14ac:dyDescent="0.25">
      <c r="A310" s="42">
        <v>241</v>
      </c>
      <c r="B310" s="42" t="str">
        <v>2013</v>
      </c>
      <c r="C310" s="43" t="str">
        <v>WANARAJA</v>
      </c>
      <c r="D310" s="50">
        <v>2773</v>
      </c>
      <c r="E310" s="33">
        <v>51.021159153633853</v>
      </c>
      <c r="F310" s="50">
        <v>2662</v>
      </c>
      <c r="G310" s="33">
        <v>48.978840846366147</v>
      </c>
      <c r="H310" s="29">
        <v>5435</v>
      </c>
      <c r="I310" s="34">
        <v>100</v>
      </c>
    </row>
    <row r="311" spans="1:9" ht="15" customHeight="1" x14ac:dyDescent="0.25">
      <c r="A311" s="42">
        <v>242</v>
      </c>
      <c r="B311" s="42" t="str">
        <v>2014</v>
      </c>
      <c r="C311" s="43" t="str">
        <v>JATILAWANG</v>
      </c>
      <c r="D311" s="50">
        <v>2787</v>
      </c>
      <c r="E311" s="33">
        <v>51.49667405764967</v>
      </c>
      <c r="F311" s="50">
        <v>2625</v>
      </c>
      <c r="G311" s="33">
        <v>48.503325942350337</v>
      </c>
      <c r="H311" s="29">
        <v>5412</v>
      </c>
      <c r="I311" s="34">
        <v>100</v>
      </c>
    </row>
    <row r="312" spans="1:9" ht="15" customHeight="1" x14ac:dyDescent="0.25">
      <c r="A312" s="42">
        <v>243</v>
      </c>
      <c r="B312" s="42" t="str">
        <v>2015</v>
      </c>
      <c r="C312" s="43" t="str">
        <v>LEGOKSAYEM</v>
      </c>
      <c r="D312" s="51">
        <v>521</v>
      </c>
      <c r="E312" s="33">
        <v>50.77972709551657</v>
      </c>
      <c r="F312" s="51">
        <v>505</v>
      </c>
      <c r="G312" s="33">
        <v>49.22027290448343</v>
      </c>
      <c r="H312" s="29">
        <v>1026</v>
      </c>
      <c r="I312" s="34">
        <v>100</v>
      </c>
    </row>
    <row r="313" spans="1:9" ht="15" customHeight="1" x14ac:dyDescent="0.25">
      <c r="A313" s="42">
        <v>244</v>
      </c>
      <c r="B313" s="42" t="str">
        <v>2016</v>
      </c>
      <c r="C313" s="43" t="str">
        <v>KASIMPAR</v>
      </c>
      <c r="D313" s="27">
        <v>956</v>
      </c>
      <c r="E313" s="53">
        <v>51.068376068376068</v>
      </c>
      <c r="F313" s="27">
        <v>916</v>
      </c>
      <c r="G313" s="53">
        <v>48.931623931623932</v>
      </c>
      <c r="H313" s="29">
        <v>1872</v>
      </c>
      <c r="I313" s="54">
        <v>100</v>
      </c>
    </row>
    <row r="314" spans="1:9" ht="15" customHeight="1" x14ac:dyDescent="0.25">
      <c r="A314" s="42">
        <v>245</v>
      </c>
      <c r="B314" s="42" t="str">
        <v>2017</v>
      </c>
      <c r="C314" s="43" t="str">
        <v>PENANGGUNGAN</v>
      </c>
      <c r="D314" s="45">
        <v>1343</v>
      </c>
      <c r="E314" s="53">
        <v>51.813271604938272</v>
      </c>
      <c r="F314" s="45">
        <v>1249</v>
      </c>
      <c r="G314" s="53">
        <v>48.186728395061728</v>
      </c>
      <c r="H314" s="29">
        <v>2592</v>
      </c>
      <c r="I314" s="54">
        <v>100</v>
      </c>
    </row>
    <row r="315" spans="1:9" ht="15" customHeight="1" x14ac:dyDescent="0.25">
      <c r="A315" s="78" t="s">
        <v>577</v>
      </c>
      <c r="B315" s="78"/>
      <c r="C315" s="78"/>
      <c r="D315" s="46">
        <f>SUM(D298:D314)</f>
        <v>27386</v>
      </c>
      <c r="E315" s="47">
        <f>D315/$H$315*100</f>
        <v>51.655129486768395</v>
      </c>
      <c r="F315" s="46">
        <f>SUM(F298:F314)</f>
        <v>25631</v>
      </c>
      <c r="G315" s="47">
        <f>F315/$H$315*100</f>
        <v>48.344870513231605</v>
      </c>
      <c r="H315" s="46">
        <f>SUM(H298:H314)</f>
        <v>53017</v>
      </c>
      <c r="I315" s="48">
        <f>H315/$H$315*100</f>
        <v>100</v>
      </c>
    </row>
    <row r="316" spans="1:9" ht="15" customHeight="1" x14ac:dyDescent="0.25">
      <c r="A316" s="86" t="s">
        <v>607</v>
      </c>
      <c r="B316" s="86"/>
      <c r="C316" s="86"/>
      <c r="D316" s="86"/>
      <c r="E316" s="86"/>
      <c r="F316" s="86"/>
      <c r="G316" s="86"/>
      <c r="H316" s="86"/>
      <c r="I316" s="86"/>
    </row>
    <row r="317" spans="1:9" ht="15" customHeight="1" x14ac:dyDescent="0.25">
      <c r="A317" s="83" t="s">
        <v>573</v>
      </c>
      <c r="B317" s="83" t="s">
        <v>589</v>
      </c>
      <c r="C317" s="83"/>
      <c r="D317" s="84" t="s">
        <v>575</v>
      </c>
      <c r="E317" s="84"/>
      <c r="F317" s="84" t="s">
        <v>576</v>
      </c>
      <c r="G317" s="84"/>
      <c r="H317" s="85" t="s">
        <v>577</v>
      </c>
      <c r="I317" s="85"/>
    </row>
    <row r="318" spans="1:9" ht="15" customHeight="1" x14ac:dyDescent="0.25">
      <c r="A318" s="83"/>
      <c r="B318" s="39" t="s">
        <v>578</v>
      </c>
      <c r="C318" s="39" t="s">
        <v>579</v>
      </c>
      <c r="D318" s="40" t="s">
        <v>577</v>
      </c>
      <c r="E318" s="40" t="s">
        <v>580</v>
      </c>
      <c r="F318" s="40" t="s">
        <v>577</v>
      </c>
      <c r="G318" s="40" t="s">
        <v>580</v>
      </c>
      <c r="H318" s="41" t="s">
        <v>590</v>
      </c>
      <c r="I318" s="41" t="s">
        <v>580</v>
      </c>
    </row>
    <row r="319" spans="1:9" ht="15" customHeight="1" x14ac:dyDescent="0.25">
      <c r="A319" s="42">
        <v>246</v>
      </c>
      <c r="B319" s="42" t="str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43" t="str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7">
        <v>2637</v>
      </c>
      <c r="E319" s="33">
        <f t="array" ref="E319:E334">D319:D334/$H$319:$H$334*100</f>
        <v>50.907335907335906</v>
      </c>
      <c r="F319" s="27">
        <f t="array" ref="F319:F334">_xlfn._xlws.FILTER('AGR_JK_3304_KAB. BANJARNEGARA'!$E$3:$E$300,(LEN('AGR_JK_3304_KAB. BANJARNEGARA'!$B$3:$B$300)=13)*(LEFT('AGR_JK_3304_KAB. BANJARNEGARA'!$B$3:$B$300,8)=MID(A316,13,8)))</f>
        <v>2543</v>
      </c>
      <c r="G319" s="33">
        <f t="array" ref="G319:G334">F319:F334/$H$319:$H$334*100</f>
        <v>49.092664092664087</v>
      </c>
      <c r="H319" s="29">
        <f t="array" ref="H319:H334">_xlfn._xlws.FILTER('AGR_JK_3304_KAB. BANJARNEGARA'!$F$3:$F$300,(LEN('AGR_JK_3304_KAB. BANJARNEGARA'!$B$3:$B$300)=13)*(LEFT('AGR_JK_3304_KAB. BANJARNEGARA'!$B$3:$B$300,8)=MID(A316,13,8)))</f>
        <v>5180</v>
      </c>
      <c r="I319" s="34">
        <f t="array" ref="I319:I334">H319:H334/$H$319:$H$334*100</f>
        <v>100</v>
      </c>
    </row>
    <row r="320" spans="1:9" ht="15" customHeight="1" x14ac:dyDescent="0.25">
      <c r="A320" s="42">
        <v>247</v>
      </c>
      <c r="B320" s="42" t="str">
        <v>2002</v>
      </c>
      <c r="C320" s="43" t="str">
        <v>ASINAN</v>
      </c>
      <c r="D320" s="50">
        <v>1330</v>
      </c>
      <c r="E320" s="33">
        <v>52.115987460815049</v>
      </c>
      <c r="F320" s="50">
        <v>1222</v>
      </c>
      <c r="G320" s="33">
        <v>47.884012539184951</v>
      </c>
      <c r="H320" s="29">
        <v>2552</v>
      </c>
      <c r="I320" s="34">
        <v>100</v>
      </c>
    </row>
    <row r="321" spans="1:9" ht="15" customHeight="1" x14ac:dyDescent="0.25">
      <c r="A321" s="42">
        <v>248</v>
      </c>
      <c r="B321" s="42" t="str">
        <v>2003</v>
      </c>
      <c r="C321" s="43" t="str">
        <v>SEMBAWA</v>
      </c>
      <c r="D321" s="50">
        <v>1300</v>
      </c>
      <c r="E321" s="33">
        <v>52.631578947368418</v>
      </c>
      <c r="F321" s="50">
        <v>1170</v>
      </c>
      <c r="G321" s="33">
        <v>47.368421052631575</v>
      </c>
      <c r="H321" s="29">
        <v>2470</v>
      </c>
      <c r="I321" s="34">
        <v>100</v>
      </c>
    </row>
    <row r="322" spans="1:9" ht="15" customHeight="1" x14ac:dyDescent="0.25">
      <c r="A322" s="42">
        <v>249</v>
      </c>
      <c r="B322" s="42" t="str">
        <v>2004</v>
      </c>
      <c r="C322" s="43" t="str">
        <v>KALIBOMBONG</v>
      </c>
      <c r="D322" s="50">
        <v>2353</v>
      </c>
      <c r="E322" s="33">
        <v>51.241289198606275</v>
      </c>
      <c r="F322" s="50">
        <v>2239</v>
      </c>
      <c r="G322" s="33">
        <v>48.758710801393725</v>
      </c>
      <c r="H322" s="29">
        <v>4592</v>
      </c>
      <c r="I322" s="34">
        <v>100</v>
      </c>
    </row>
    <row r="323" spans="1:9" ht="15" customHeight="1" x14ac:dyDescent="0.25">
      <c r="A323" s="42">
        <v>250</v>
      </c>
      <c r="B323" s="42" t="str">
        <v>2005</v>
      </c>
      <c r="C323" s="43" t="str">
        <v>MAJATENGAH</v>
      </c>
      <c r="D323" s="51">
        <v>1179</v>
      </c>
      <c r="E323" s="33">
        <v>50.535790827261039</v>
      </c>
      <c r="F323" s="51">
        <v>1154</v>
      </c>
      <c r="G323" s="33">
        <v>49.464209172738968</v>
      </c>
      <c r="H323" s="29">
        <v>2333</v>
      </c>
      <c r="I323" s="34">
        <v>100</v>
      </c>
    </row>
    <row r="324" spans="1:9" ht="15" customHeight="1" x14ac:dyDescent="0.25">
      <c r="A324" s="42">
        <v>251</v>
      </c>
      <c r="B324" s="42" t="str">
        <v>2006</v>
      </c>
      <c r="C324" s="43" t="str">
        <v>KALISAT KIDUL</v>
      </c>
      <c r="D324" s="50">
        <v>2200</v>
      </c>
      <c r="E324" s="33">
        <v>51.008578715511241</v>
      </c>
      <c r="F324" s="50">
        <v>2113</v>
      </c>
      <c r="G324" s="33">
        <v>48.991421284488759</v>
      </c>
      <c r="H324" s="29">
        <v>4313</v>
      </c>
      <c r="I324" s="34">
        <v>100</v>
      </c>
    </row>
    <row r="325" spans="1:9" ht="15" customHeight="1" x14ac:dyDescent="0.25">
      <c r="A325" s="42">
        <v>252</v>
      </c>
      <c r="B325" s="42" t="str">
        <v>2007</v>
      </c>
      <c r="C325" s="43" t="str">
        <v>SIRUKEM</v>
      </c>
      <c r="D325" s="51">
        <v>1104</v>
      </c>
      <c r="E325" s="33">
        <v>52.347083926031289</v>
      </c>
      <c r="F325" s="51">
        <v>1005</v>
      </c>
      <c r="G325" s="33">
        <v>47.652916073968704</v>
      </c>
      <c r="H325" s="29">
        <v>2109</v>
      </c>
      <c r="I325" s="34">
        <v>100</v>
      </c>
    </row>
    <row r="326" spans="1:9" ht="15" customHeight="1" x14ac:dyDescent="0.25">
      <c r="A326" s="42">
        <v>253</v>
      </c>
      <c r="B326" s="42" t="str">
        <v>2008</v>
      </c>
      <c r="C326" s="43" t="str">
        <v>KERTOSARI</v>
      </c>
      <c r="D326" s="51">
        <v>1198</v>
      </c>
      <c r="E326" s="33">
        <v>51.372212692967409</v>
      </c>
      <c r="F326" s="51">
        <v>1134</v>
      </c>
      <c r="G326" s="33">
        <v>48.627787307032591</v>
      </c>
      <c r="H326" s="29">
        <v>2332</v>
      </c>
      <c r="I326" s="34">
        <v>100</v>
      </c>
    </row>
    <row r="327" spans="1:9" ht="15" customHeight="1" x14ac:dyDescent="0.25">
      <c r="A327" s="42">
        <v>254</v>
      </c>
      <c r="B327" s="42" t="str">
        <v>2009</v>
      </c>
      <c r="C327" s="43" t="str">
        <v>SIDAKANGEN</v>
      </c>
      <c r="D327" s="50">
        <v>1802</v>
      </c>
      <c r="E327" s="33">
        <v>50.846501128668173</v>
      </c>
      <c r="F327" s="50">
        <v>1742</v>
      </c>
      <c r="G327" s="33">
        <v>49.153498871331827</v>
      </c>
      <c r="H327" s="29">
        <v>3544</v>
      </c>
      <c r="I327" s="34">
        <v>100</v>
      </c>
    </row>
    <row r="328" spans="1:9" ht="15" customHeight="1" x14ac:dyDescent="0.25">
      <c r="A328" s="42">
        <v>255</v>
      </c>
      <c r="B328" s="42" t="str">
        <v>2010</v>
      </c>
      <c r="C328" s="43" t="str">
        <v>SIKUMPUL</v>
      </c>
      <c r="D328" s="51">
        <v>1617</v>
      </c>
      <c r="E328" s="33">
        <v>50.123992560446375</v>
      </c>
      <c r="F328" s="51">
        <v>1609</v>
      </c>
      <c r="G328" s="33">
        <v>49.876007439553625</v>
      </c>
      <c r="H328" s="29">
        <v>3226</v>
      </c>
      <c r="I328" s="34">
        <v>100</v>
      </c>
    </row>
    <row r="329" spans="1:9" ht="15" customHeight="1" x14ac:dyDescent="0.25">
      <c r="A329" s="42">
        <v>256</v>
      </c>
      <c r="B329" s="42" t="str">
        <v>2011</v>
      </c>
      <c r="C329" s="43" t="str">
        <v>GUNUNGLANGIT</v>
      </c>
      <c r="D329" s="50">
        <v>1448</v>
      </c>
      <c r="E329" s="33">
        <v>49.776555517359917</v>
      </c>
      <c r="F329" s="50">
        <v>1461</v>
      </c>
      <c r="G329" s="33">
        <v>50.223444482640076</v>
      </c>
      <c r="H329" s="29">
        <v>2909</v>
      </c>
      <c r="I329" s="34">
        <v>100</v>
      </c>
    </row>
    <row r="330" spans="1:9" ht="15" customHeight="1" x14ac:dyDescent="0.25">
      <c r="A330" s="42">
        <v>257</v>
      </c>
      <c r="B330" s="42" t="str">
        <v>2012</v>
      </c>
      <c r="C330" s="43" t="str">
        <v>BEDANA</v>
      </c>
      <c r="D330" s="50">
        <v>960</v>
      </c>
      <c r="E330" s="33">
        <v>51.254671649759743</v>
      </c>
      <c r="F330" s="50">
        <v>913</v>
      </c>
      <c r="G330" s="33">
        <v>48.745328350240257</v>
      </c>
      <c r="H330" s="29">
        <v>1873</v>
      </c>
      <c r="I330" s="34">
        <v>100</v>
      </c>
    </row>
    <row r="331" spans="1:9" ht="15" customHeight="1" x14ac:dyDescent="0.25">
      <c r="A331" s="42">
        <v>258</v>
      </c>
      <c r="B331" s="42" t="str">
        <v>2013</v>
      </c>
      <c r="C331" s="43" t="str">
        <v>SIRUKUN</v>
      </c>
      <c r="D331" s="50">
        <v>1115</v>
      </c>
      <c r="E331" s="33">
        <v>51.170261587884347</v>
      </c>
      <c r="F331" s="50">
        <v>1064</v>
      </c>
      <c r="G331" s="33">
        <v>48.829738412115645</v>
      </c>
      <c r="H331" s="29">
        <v>2179</v>
      </c>
      <c r="I331" s="34">
        <v>100</v>
      </c>
    </row>
    <row r="332" spans="1:9" ht="15" customHeight="1" x14ac:dyDescent="0.25">
      <c r="A332" s="42">
        <v>259</v>
      </c>
      <c r="B332" s="42" t="str">
        <v>2014</v>
      </c>
      <c r="C332" s="43" t="str">
        <v>KARANGANYAR</v>
      </c>
      <c r="D332" s="50">
        <v>1538</v>
      </c>
      <c r="E332" s="33">
        <v>50.742329264269216</v>
      </c>
      <c r="F332" s="50">
        <v>1493</v>
      </c>
      <c r="G332" s="33">
        <v>49.257670735730777</v>
      </c>
      <c r="H332" s="29">
        <v>3031</v>
      </c>
      <c r="I332" s="34">
        <v>100</v>
      </c>
    </row>
    <row r="333" spans="1:9" ht="15" customHeight="1" x14ac:dyDescent="0.25">
      <c r="A333" s="42">
        <v>260</v>
      </c>
      <c r="B333" s="42" t="str">
        <v>2015</v>
      </c>
      <c r="C333" s="43" t="str">
        <v>PLORENGAN</v>
      </c>
      <c r="D333" s="51">
        <v>2041</v>
      </c>
      <c r="E333" s="33">
        <v>52.306509482316763</v>
      </c>
      <c r="F333" s="51">
        <v>1861</v>
      </c>
      <c r="G333" s="33">
        <v>47.693490517683237</v>
      </c>
      <c r="H333" s="29">
        <v>3902</v>
      </c>
      <c r="I333" s="34">
        <v>100</v>
      </c>
    </row>
    <row r="334" spans="1:9" ht="15" customHeight="1" x14ac:dyDescent="0.25">
      <c r="A334" s="42">
        <v>261</v>
      </c>
      <c r="B334" s="42" t="str">
        <v>2016</v>
      </c>
      <c r="C334" s="43" t="str">
        <v>KASINOMAN</v>
      </c>
      <c r="D334" s="27">
        <v>1546</v>
      </c>
      <c r="E334" s="53">
        <v>51.464713715046607</v>
      </c>
      <c r="F334" s="27">
        <v>1458</v>
      </c>
      <c r="G334" s="53">
        <v>48.535286284953393</v>
      </c>
      <c r="H334" s="29">
        <v>3004</v>
      </c>
      <c r="I334" s="54">
        <v>100</v>
      </c>
    </row>
    <row r="335" spans="1:9" ht="15" customHeight="1" x14ac:dyDescent="0.25">
      <c r="A335" s="78" t="s">
        <v>577</v>
      </c>
      <c r="B335" s="78"/>
      <c r="C335" s="78"/>
      <c r="D335" s="46">
        <f>SUM(D319:D334)</f>
        <v>25368</v>
      </c>
      <c r="E335" s="47">
        <f>D335/$H$335*100</f>
        <v>51.197804193828333</v>
      </c>
      <c r="F335" s="46">
        <f>SUM(F319:F334)</f>
        <v>24181</v>
      </c>
      <c r="G335" s="47">
        <f>F335/$H$335*100</f>
        <v>48.802195806171667</v>
      </c>
      <c r="H335" s="46">
        <f>SUM(H319:H334)</f>
        <v>49549</v>
      </c>
      <c r="I335" s="48">
        <f>H335/$H$335*100</f>
        <v>100</v>
      </c>
    </row>
    <row r="336" spans="1:9" ht="15" customHeight="1" x14ac:dyDescent="0.25">
      <c r="A336" s="80" t="s">
        <v>608</v>
      </c>
      <c r="B336" s="81"/>
      <c r="C336" s="81"/>
      <c r="D336" s="81"/>
      <c r="E336" s="81"/>
      <c r="F336" s="81"/>
      <c r="G336" s="81"/>
      <c r="H336" s="81"/>
      <c r="I336" s="82"/>
    </row>
    <row r="337" spans="1:9" ht="15" customHeight="1" x14ac:dyDescent="0.25">
      <c r="A337" s="83" t="s">
        <v>573</v>
      </c>
      <c r="B337" s="83" t="s">
        <v>589</v>
      </c>
      <c r="C337" s="83"/>
      <c r="D337" s="84" t="s">
        <v>575</v>
      </c>
      <c r="E337" s="84"/>
      <c r="F337" s="84" t="s">
        <v>576</v>
      </c>
      <c r="G337" s="84"/>
      <c r="H337" s="85" t="s">
        <v>577</v>
      </c>
      <c r="I337" s="85"/>
    </row>
    <row r="338" spans="1:9" ht="15" customHeight="1" x14ac:dyDescent="0.25">
      <c r="A338" s="83"/>
      <c r="B338" s="39" t="s">
        <v>578</v>
      </c>
      <c r="C338" s="39" t="s">
        <v>579</v>
      </c>
      <c r="D338" s="40" t="s">
        <v>577</v>
      </c>
      <c r="E338" s="40" t="s">
        <v>580</v>
      </c>
      <c r="F338" s="40" t="s">
        <v>577</v>
      </c>
      <c r="G338" s="40" t="s">
        <v>580</v>
      </c>
      <c r="H338" s="41" t="s">
        <v>590</v>
      </c>
      <c r="I338" s="41" t="s">
        <v>580</v>
      </c>
    </row>
    <row r="339" spans="1:9" ht="15" customHeight="1" x14ac:dyDescent="0.25">
      <c r="A339" s="42">
        <v>262</v>
      </c>
      <c r="B339" s="42" t="str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43" t="str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7">
        <v>1587</v>
      </c>
      <c r="E339" s="33">
        <f t="array" ref="E339:E346">D339:D346/$H$339:$H$346*100</f>
        <v>51.309408341416095</v>
      </c>
      <c r="F339" s="27">
        <f t="array" ref="F339:F346">_xlfn._xlws.FILTER('AGR_JK_3304_KAB. BANJARNEGARA'!$E$3:$E$300,(LEN('AGR_JK_3304_KAB. BANJARNEGARA'!$B$3:$B$300)=13)*(LEFT('AGR_JK_3304_KAB. BANJARNEGARA'!$B$3:$B$300,8)=MID(A336,13,8)))</f>
        <v>1506</v>
      </c>
      <c r="G339" s="33">
        <f t="array" ref="G339:G346">F339:F346/$H$339:$H$346*100</f>
        <v>48.690591658583898</v>
      </c>
      <c r="H339" s="29">
        <f t="array" ref="H339:H346">_xlfn._xlws.FILTER('AGR_JK_3304_KAB. BANJARNEGARA'!$F$3:$F$300,(LEN('AGR_JK_3304_KAB. BANJARNEGARA'!$B$3:$B$300)=13)*(LEFT('AGR_JK_3304_KAB. BANJARNEGARA'!$B$3:$B$300,8)=MID(A336,13,8)))</f>
        <v>3093</v>
      </c>
      <c r="I339" s="34">
        <f t="array" ref="I339:I346">H339:H346/$H$339:$H$346*100</f>
        <v>100</v>
      </c>
    </row>
    <row r="340" spans="1:9" ht="15" customHeight="1" x14ac:dyDescent="0.25">
      <c r="A340" s="42">
        <v>263</v>
      </c>
      <c r="B340" s="42" t="str">
        <v>2002</v>
      </c>
      <c r="C340" s="43" t="str">
        <v>SINDUAJI</v>
      </c>
      <c r="D340" s="50">
        <v>1032</v>
      </c>
      <c r="E340" s="33">
        <v>52.545824847250508</v>
      </c>
      <c r="F340" s="50">
        <v>932</v>
      </c>
      <c r="G340" s="33">
        <v>47.454175152749492</v>
      </c>
      <c r="H340" s="29">
        <v>1964</v>
      </c>
      <c r="I340" s="34">
        <v>100</v>
      </c>
    </row>
    <row r="341" spans="1:9" ht="15" customHeight="1" x14ac:dyDescent="0.25">
      <c r="A341" s="42">
        <v>264</v>
      </c>
      <c r="B341" s="42" t="str">
        <v>2003</v>
      </c>
      <c r="C341" s="43" t="str">
        <v>PASEGERAN</v>
      </c>
      <c r="D341" s="50">
        <v>1564</v>
      </c>
      <c r="E341" s="33">
        <v>51.532125205930811</v>
      </c>
      <c r="F341" s="50">
        <v>1471</v>
      </c>
      <c r="G341" s="33">
        <v>48.467874794069196</v>
      </c>
      <c r="H341" s="29">
        <v>3035</v>
      </c>
      <c r="I341" s="34">
        <v>100</v>
      </c>
    </row>
    <row r="342" spans="1:9" ht="15" customHeight="1" x14ac:dyDescent="0.25">
      <c r="A342" s="42">
        <v>265</v>
      </c>
      <c r="B342" s="42" t="str">
        <v>2004</v>
      </c>
      <c r="C342" s="43" t="str">
        <v>PINGIT LOR</v>
      </c>
      <c r="D342" s="50">
        <v>1176</v>
      </c>
      <c r="E342" s="33">
        <v>50.213492741246803</v>
      </c>
      <c r="F342" s="50">
        <v>1166</v>
      </c>
      <c r="G342" s="33">
        <v>49.786507258753204</v>
      </c>
      <c r="H342" s="29">
        <v>2342</v>
      </c>
      <c r="I342" s="34">
        <v>100</v>
      </c>
    </row>
    <row r="343" spans="1:9" ht="15" customHeight="1" x14ac:dyDescent="0.25">
      <c r="A343" s="42">
        <v>266</v>
      </c>
      <c r="B343" s="42" t="str">
        <v>2005</v>
      </c>
      <c r="C343" s="43" t="str">
        <v>LAWEN</v>
      </c>
      <c r="D343" s="51">
        <v>2474</v>
      </c>
      <c r="E343" s="33">
        <v>51.221532091097309</v>
      </c>
      <c r="F343" s="51">
        <v>2356</v>
      </c>
      <c r="G343" s="33">
        <v>48.778467908902691</v>
      </c>
      <c r="H343" s="29">
        <v>4830</v>
      </c>
      <c r="I343" s="34">
        <v>100</v>
      </c>
    </row>
    <row r="344" spans="1:9" ht="15" customHeight="1" x14ac:dyDescent="0.25">
      <c r="A344" s="42">
        <v>267</v>
      </c>
      <c r="B344" s="42" t="str">
        <v>2006</v>
      </c>
      <c r="C344" s="43" t="str">
        <v>SIRONGGE</v>
      </c>
      <c r="D344" s="50">
        <v>1659</v>
      </c>
      <c r="E344" s="33">
        <v>50.718434729440546</v>
      </c>
      <c r="F344" s="50">
        <v>1612</v>
      </c>
      <c r="G344" s="33">
        <v>49.281565270559462</v>
      </c>
      <c r="H344" s="29">
        <v>3271</v>
      </c>
      <c r="I344" s="34">
        <v>100</v>
      </c>
    </row>
    <row r="345" spans="1:9" ht="15" customHeight="1" x14ac:dyDescent="0.25">
      <c r="A345" s="42">
        <v>268</v>
      </c>
      <c r="B345" s="42" t="str">
        <v>2007</v>
      </c>
      <c r="C345" s="43" t="str">
        <v>PRINGAMBA</v>
      </c>
      <c r="D345" s="51">
        <v>1323</v>
      </c>
      <c r="E345" s="33">
        <v>51.86201489611917</v>
      </c>
      <c r="F345" s="51">
        <v>1228</v>
      </c>
      <c r="G345" s="33">
        <v>48.13798510388083</v>
      </c>
      <c r="H345" s="29">
        <v>2551</v>
      </c>
      <c r="I345" s="34">
        <v>100</v>
      </c>
    </row>
    <row r="346" spans="1:9" ht="15" customHeight="1" x14ac:dyDescent="0.25">
      <c r="A346" s="42">
        <v>269</v>
      </c>
      <c r="B346" s="42" t="str">
        <v>2008</v>
      </c>
      <c r="C346" s="43" t="str">
        <v>BEJI</v>
      </c>
      <c r="D346" s="51">
        <v>1446</v>
      </c>
      <c r="E346" s="33">
        <v>51.995685005393746</v>
      </c>
      <c r="F346" s="51">
        <v>1335</v>
      </c>
      <c r="G346" s="33">
        <v>48.004314994606254</v>
      </c>
      <c r="H346" s="29">
        <v>2781</v>
      </c>
      <c r="I346" s="34">
        <v>100</v>
      </c>
    </row>
    <row r="347" spans="1:9" ht="15" customHeight="1" x14ac:dyDescent="0.25">
      <c r="A347" s="78" t="s">
        <v>577</v>
      </c>
      <c r="B347" s="78"/>
      <c r="C347" s="78"/>
      <c r="D347" s="46">
        <f>SUM(D339:D346)</f>
        <v>12261</v>
      </c>
      <c r="E347" s="47">
        <f>D347/$H$347*100</f>
        <v>51.372187539280176</v>
      </c>
      <c r="F347" s="46">
        <f>SUM(F339:F346)</f>
        <v>11606</v>
      </c>
      <c r="G347" s="47">
        <f>F347/$H$347*100</f>
        <v>48.627812460719824</v>
      </c>
      <c r="H347" s="46">
        <f>SUM(H339:H346)</f>
        <v>23867</v>
      </c>
      <c r="I347" s="48">
        <f>H347/$H$347*100</f>
        <v>100</v>
      </c>
    </row>
    <row r="348" spans="1:9" ht="15" customHeight="1" x14ac:dyDescent="0.25">
      <c r="A348" s="80" t="s">
        <v>609</v>
      </c>
      <c r="B348" s="81"/>
      <c r="C348" s="81"/>
      <c r="D348" s="81"/>
      <c r="E348" s="81"/>
      <c r="F348" s="81"/>
      <c r="G348" s="81"/>
      <c r="H348" s="81"/>
      <c r="I348" s="82"/>
    </row>
    <row r="349" spans="1:9" ht="15" customHeight="1" x14ac:dyDescent="0.25">
      <c r="A349" s="83" t="s">
        <v>573</v>
      </c>
      <c r="B349" s="83" t="s">
        <v>589</v>
      </c>
      <c r="C349" s="83"/>
      <c r="D349" s="84" t="s">
        <v>575</v>
      </c>
      <c r="E349" s="84"/>
      <c r="F349" s="84" t="s">
        <v>576</v>
      </c>
      <c r="G349" s="84"/>
      <c r="H349" s="85" t="s">
        <v>577</v>
      </c>
      <c r="I349" s="85"/>
    </row>
    <row r="350" spans="1:9" ht="15" customHeight="1" x14ac:dyDescent="0.25">
      <c r="A350" s="83"/>
      <c r="B350" s="39" t="s">
        <v>578</v>
      </c>
      <c r="C350" s="39" t="s">
        <v>579</v>
      </c>
      <c r="D350" s="40" t="s">
        <v>577</v>
      </c>
      <c r="E350" s="40" t="s">
        <v>580</v>
      </c>
      <c r="F350" s="40" t="s">
        <v>577</v>
      </c>
      <c r="G350" s="40" t="s">
        <v>580</v>
      </c>
      <c r="H350" s="41" t="s">
        <v>590</v>
      </c>
      <c r="I350" s="41" t="s">
        <v>580</v>
      </c>
    </row>
    <row r="351" spans="1:9" ht="15" customHeight="1" x14ac:dyDescent="0.25">
      <c r="A351" s="43">
        <v>270</v>
      </c>
      <c r="B351" s="42" t="str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43" t="str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7">
        <v>3524</v>
      </c>
      <c r="E351" s="33">
        <f t="array" ref="E351:E359">D351:D359/$H$351:$H$359*100</f>
        <v>51.079866647340197</v>
      </c>
      <c r="F351" s="27">
        <f t="array" ref="F351:F359">_xlfn._xlws.FILTER('AGR_JK_3304_KAB. BANJARNEGARA'!$E$3:$E$300,(LEN('AGR_JK_3304_KAB. BANJARNEGARA'!$B$3:$B$300)=13)*(LEFT('AGR_JK_3304_KAB. BANJARNEGARA'!$B$3:$B$300,8)=MID(A348,13,8)))</f>
        <v>3375</v>
      </c>
      <c r="G351" s="33">
        <f t="array" ref="G351:G359">F351:F359/$H$351:$H$359*100</f>
        <v>48.920133352659803</v>
      </c>
      <c r="H351" s="29">
        <f t="array" ref="H351:H359">_xlfn._xlws.FILTER('AGR_JK_3304_KAB. BANJARNEGARA'!$F$3:$F$300,(LEN('AGR_JK_3304_KAB. BANJARNEGARA'!$B$3:$B$300)=13)*(LEFT('AGR_JK_3304_KAB. BANJARNEGARA'!$B$3:$B$300,8)=MID(A348,13,8)))</f>
        <v>6899</v>
      </c>
      <c r="I351" s="34">
        <f t="array" ref="I351:I359">H351:H359/$H$351:$H$359*100</f>
        <v>100</v>
      </c>
    </row>
    <row r="352" spans="1:9" ht="15" customHeight="1" x14ac:dyDescent="0.25">
      <c r="A352" s="43">
        <v>271</v>
      </c>
      <c r="B352" s="42" t="str">
        <v>2002</v>
      </c>
      <c r="C352" s="43" t="str">
        <v>GUNUNGJATI</v>
      </c>
      <c r="D352" s="50">
        <v>1760</v>
      </c>
      <c r="E352" s="33">
        <v>51.401869158878498</v>
      </c>
      <c r="F352" s="50">
        <v>1664</v>
      </c>
      <c r="G352" s="33">
        <v>48.598130841121495</v>
      </c>
      <c r="H352" s="29">
        <v>3424</v>
      </c>
      <c r="I352" s="34">
        <v>100</v>
      </c>
    </row>
    <row r="353" spans="1:9" ht="15" customHeight="1" x14ac:dyDescent="0.25">
      <c r="A353" s="43">
        <v>272</v>
      </c>
      <c r="B353" s="42" t="str">
        <v>2003</v>
      </c>
      <c r="C353" s="43" t="str">
        <v>TWELAGIRI</v>
      </c>
      <c r="D353" s="50">
        <v>3017</v>
      </c>
      <c r="E353" s="33">
        <v>52.071108042802905</v>
      </c>
      <c r="F353" s="50">
        <v>2777</v>
      </c>
      <c r="G353" s="33">
        <v>47.928891957197102</v>
      </c>
      <c r="H353" s="29">
        <v>5794</v>
      </c>
      <c r="I353" s="34">
        <v>100</v>
      </c>
    </row>
    <row r="354" spans="1:9" ht="15" customHeight="1" x14ac:dyDescent="0.25">
      <c r="A354" s="43">
        <v>273</v>
      </c>
      <c r="B354" s="42" t="str">
        <v>2004</v>
      </c>
      <c r="C354" s="43" t="str">
        <v>KEBUTUHDUWUR</v>
      </c>
      <c r="D354" s="50">
        <v>3292</v>
      </c>
      <c r="E354" s="33">
        <v>51.27725856697819</v>
      </c>
      <c r="F354" s="50">
        <v>3128</v>
      </c>
      <c r="G354" s="33">
        <v>48.722741433021802</v>
      </c>
      <c r="H354" s="29">
        <v>6420</v>
      </c>
      <c r="I354" s="34">
        <v>100</v>
      </c>
    </row>
    <row r="355" spans="1:9" ht="15" customHeight="1" x14ac:dyDescent="0.25">
      <c r="A355" s="43">
        <v>274</v>
      </c>
      <c r="B355" s="42" t="str">
        <v>2005</v>
      </c>
      <c r="C355" s="43" t="str">
        <v>KEBUTUHJURANG</v>
      </c>
      <c r="D355" s="51">
        <v>2450</v>
      </c>
      <c r="E355" s="33">
        <v>50.484236554708431</v>
      </c>
      <c r="F355" s="51">
        <v>2403</v>
      </c>
      <c r="G355" s="33">
        <v>49.515763445291569</v>
      </c>
      <c r="H355" s="29">
        <v>4853</v>
      </c>
      <c r="I355" s="34">
        <v>100</v>
      </c>
    </row>
    <row r="356" spans="1:9" ht="15" customHeight="1" x14ac:dyDescent="0.25">
      <c r="A356" s="43">
        <v>275</v>
      </c>
      <c r="B356" s="42" t="str">
        <v>2006</v>
      </c>
      <c r="C356" s="43" t="str">
        <v>PESANGKALAN</v>
      </c>
      <c r="D356" s="50">
        <v>1846</v>
      </c>
      <c r="E356" s="33">
        <v>51.24930594114381</v>
      </c>
      <c r="F356" s="50">
        <v>1756</v>
      </c>
      <c r="G356" s="33">
        <v>48.75069405885619</v>
      </c>
      <c r="H356" s="29">
        <v>3602</v>
      </c>
      <c r="I356" s="34">
        <v>100</v>
      </c>
    </row>
    <row r="357" spans="1:9" ht="15" customHeight="1" x14ac:dyDescent="0.25">
      <c r="A357" s="43">
        <v>276</v>
      </c>
      <c r="B357" s="42" t="str">
        <v>2007</v>
      </c>
      <c r="C357" s="43" t="str">
        <v>DUREN</v>
      </c>
      <c r="D357" s="51">
        <v>1625</v>
      </c>
      <c r="E357" s="33">
        <v>51.834130781499198</v>
      </c>
      <c r="F357" s="51">
        <v>1510</v>
      </c>
      <c r="G357" s="33">
        <v>48.165869218500795</v>
      </c>
      <c r="H357" s="29">
        <v>3135</v>
      </c>
      <c r="I357" s="34">
        <v>100</v>
      </c>
    </row>
    <row r="358" spans="1:9" ht="15" customHeight="1" x14ac:dyDescent="0.25">
      <c r="A358" s="43">
        <v>277</v>
      </c>
      <c r="B358" s="42" t="str">
        <v>2008</v>
      </c>
      <c r="C358" s="43" t="str">
        <v>LEBAKWANGI</v>
      </c>
      <c r="D358" s="51">
        <v>2675</v>
      </c>
      <c r="E358" s="33">
        <v>50.672475847698429</v>
      </c>
      <c r="F358" s="51">
        <v>2604</v>
      </c>
      <c r="G358" s="33">
        <v>49.327524152301571</v>
      </c>
      <c r="H358" s="29">
        <v>5279</v>
      </c>
      <c r="I358" s="34">
        <v>100</v>
      </c>
    </row>
    <row r="359" spans="1:9" ht="15" customHeight="1" x14ac:dyDescent="0.25">
      <c r="A359" s="43">
        <v>278</v>
      </c>
      <c r="B359" s="42" t="str">
        <v>2009</v>
      </c>
      <c r="C359" s="43" t="str">
        <v>GENTANSARI</v>
      </c>
      <c r="D359" s="50">
        <v>3007</v>
      </c>
      <c r="E359" s="33">
        <v>50.931571815718158</v>
      </c>
      <c r="F359" s="50">
        <v>2897</v>
      </c>
      <c r="G359" s="33">
        <v>49.068428184281842</v>
      </c>
      <c r="H359" s="29">
        <v>5904</v>
      </c>
      <c r="I359" s="34">
        <v>100</v>
      </c>
    </row>
    <row r="360" spans="1:9" ht="15" customHeight="1" x14ac:dyDescent="0.25">
      <c r="A360" s="78" t="s">
        <v>577</v>
      </c>
      <c r="B360" s="78"/>
      <c r="C360" s="78"/>
      <c r="D360" s="46">
        <f>SUM(D351:D359)</f>
        <v>23196</v>
      </c>
      <c r="E360" s="47">
        <f>D360/$H$360*100</f>
        <v>51.193996910174356</v>
      </c>
      <c r="F360" s="46">
        <f>SUM(F351:F359)</f>
        <v>22114</v>
      </c>
      <c r="G360" s="47">
        <f>F360/$H$360*100</f>
        <v>48.806003089825644</v>
      </c>
      <c r="H360" s="46">
        <f>SUM(H351:H359)</f>
        <v>45310</v>
      </c>
      <c r="I360" s="48">
        <f>H360/$H$360*100</f>
        <v>100</v>
      </c>
    </row>
    <row r="361" spans="1:9" ht="15" customHeight="1" x14ac:dyDescent="0.25">
      <c r="A361" s="79" t="s">
        <v>582</v>
      </c>
      <c r="B361" s="79"/>
      <c r="C361" s="79"/>
      <c r="D361" s="55">
        <f t="array" ref="D361">SUM(_xlfn._xlws.FILTER(D3:D360,$A$3:$A$360="Jumlah"))</f>
        <v>548744</v>
      </c>
      <c r="E361" s="47">
        <f>D361/H361*100</f>
        <v>50.896058677420733</v>
      </c>
      <c r="F361" s="55">
        <f t="array" ref="F361">SUM(_xlfn._xlws.FILTER(F3:F360,$A$3:$A$360="Jumlah"))</f>
        <v>529422</v>
      </c>
      <c r="G361" s="47">
        <f>F361/H361*100</f>
        <v>49.103941322579267</v>
      </c>
      <c r="H361" s="56">
        <f t="array" ref="H361">SUM(_xlfn._xlws.FILTER(H3:H360,$A$3:$A$360="Jumlah"))</f>
        <v>1078166</v>
      </c>
      <c r="I361" s="48">
        <f>(D361+F361)/H361*100</f>
        <v>100</v>
      </c>
    </row>
  </sheetData>
  <sheetProtection algorithmName="SHA-512" hashValue="4cOekHd4AKyyeQCNeiNKkEbB1GmjmBGRaB8DA8bRwg/mAo8EJQL/tkGb1VDH6DUBSPtDySoivHe6gKg8wcD8sg==" saltValue="iLFdBdUyT3Gp5/ROGo4mWw==" spinCount="100000" sheet="1" objects="1" scenarios="1"/>
  <mergeCells count="142">
    <mergeCell ref="A1:I1"/>
    <mergeCell ref="A3:I3"/>
    <mergeCell ref="A4:A5"/>
    <mergeCell ref="B4:C4"/>
    <mergeCell ref="D4:E4"/>
    <mergeCell ref="F4:G4"/>
    <mergeCell ref="H4:I4"/>
    <mergeCell ref="A33:C33"/>
    <mergeCell ref="A34:I34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grr</cp:lastModifiedBy>
  <cp:revision>1</cp:revision>
  <dcterms:created xsi:type="dcterms:W3CDTF">2023-07-24T03:45:12Z</dcterms:created>
  <dcterms:modified xsi:type="dcterms:W3CDTF">2026-02-03T03:48:35Z</dcterms:modified>
</cp:coreProperties>
</file>